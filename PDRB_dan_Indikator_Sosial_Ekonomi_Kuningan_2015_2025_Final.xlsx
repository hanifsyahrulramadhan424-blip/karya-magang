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KULIAH\MAGANG\KARYA\"/>
    </mc:Choice>
  </mc:AlternateContent>
  <xr:revisionPtr revIDLastSave="0" documentId="8_{A7D4F3E6-5F99-4681-B4E3-D405E1A51963}" xr6:coauthVersionLast="47" xr6:coauthVersionMax="47" xr10:uidLastSave="{00000000-0000-0000-0000-000000000000}"/>
  <bookViews>
    <workbookView xWindow="-108" yWindow="-108" windowWidth="23256" windowHeight="13176" tabRatio="781" firstSheet="6" activeTab="9" xr2:uid="{00000000-000D-0000-FFFF-FFFF00000000}"/>
  </bookViews>
  <sheets>
    <sheet name="Ringkasan Makro" sheetId="1" r:id="rId1"/>
    <sheet name="Pengeluaran ADHB (Miliar)" sheetId="2" r:id="rId2"/>
    <sheet name="Pengeluaran ADHK (Miliar)" sheetId="3" r:id="rId3"/>
    <sheet name="Distribusi Pengeluaran (%)" sheetId="4" r:id="rId4"/>
    <sheet name="Pertumbuhan Pengeluaran (%)" sheetId="5" r:id="rId5"/>
    <sheet name="Indeks Implisit Pengeluaran" sheetId="6" r:id="rId6"/>
    <sheet name="Rincian PK-RT (7 COICOP)" sheetId="7" r:id="rId7"/>
    <sheet name="PDRB Lapangan Usaha (ADHB)" sheetId="8" r:id="rId8"/>
    <sheet name="Analisis ICVAR" sheetId="9" r:id="rId9"/>
    <sheet name="Indikator Sosial Ekonomi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1" i="10" l="1"/>
  <c r="H11" i="10"/>
  <c r="I11" i="10"/>
  <c r="J11" i="10"/>
  <c r="K11" i="10"/>
  <c r="L11" i="10"/>
  <c r="M11" i="10"/>
  <c r="N11" i="10"/>
  <c r="F11" i="10"/>
  <c r="E11" i="10"/>
  <c r="I10" i="10"/>
  <c r="J10" i="10"/>
  <c r="K10" i="10"/>
  <c r="L10" i="10"/>
  <c r="M10" i="10"/>
  <c r="N10" i="10"/>
  <c r="F10" i="10"/>
  <c r="G10" i="10"/>
  <c r="H10" i="10"/>
  <c r="E10" i="10"/>
  <c r="M12" i="7"/>
  <c r="L12" i="7"/>
  <c r="K12" i="7"/>
  <c r="J12" i="7"/>
  <c r="I12" i="7"/>
  <c r="H12" i="7"/>
  <c r="G12" i="7"/>
  <c r="F12" i="7"/>
  <c r="E12" i="7"/>
  <c r="D12" i="7"/>
  <c r="C12" i="7"/>
  <c r="M11" i="4"/>
  <c r="L11" i="4"/>
  <c r="K11" i="4"/>
  <c r="J11" i="4"/>
  <c r="I11" i="4"/>
  <c r="H11" i="4"/>
  <c r="G11" i="4"/>
  <c r="F11" i="4"/>
  <c r="E11" i="4"/>
  <c r="D11" i="4"/>
  <c r="C11" i="4"/>
  <c r="M11" i="3"/>
  <c r="L11" i="3"/>
  <c r="K11" i="3"/>
  <c r="J11" i="3"/>
  <c r="I11" i="3"/>
  <c r="H11" i="3"/>
  <c r="G11" i="3"/>
  <c r="F11" i="3"/>
  <c r="E11" i="3"/>
  <c r="D11" i="3"/>
  <c r="C11" i="3"/>
  <c r="M11" i="2"/>
  <c r="L11" i="2"/>
  <c r="K11" i="2"/>
  <c r="J11" i="2"/>
  <c r="I11" i="2"/>
  <c r="H11" i="2"/>
  <c r="G11" i="2"/>
  <c r="F11" i="2"/>
  <c r="E11" i="2"/>
  <c r="D11" i="2"/>
  <c r="C11" i="2"/>
  <c r="M22" i="8"/>
  <c r="L22" i="8"/>
  <c r="K22" i="8"/>
  <c r="J22" i="8"/>
  <c r="I22" i="8"/>
  <c r="H22" i="8"/>
  <c r="G22" i="8"/>
  <c r="F22" i="8"/>
  <c r="E22" i="8"/>
  <c r="D22" i="8"/>
  <c r="C22" i="8"/>
</calcChain>
</file>

<file path=xl/sharedStrings.xml><?xml version="1.0" encoding="utf-8"?>
<sst xmlns="http://schemas.openxmlformats.org/spreadsheetml/2006/main" count="328" uniqueCount="143">
  <si>
    <t>PDRB KABUPATEN KUNINGAN ATAS DASAR HARGA BERLAKU MENURUT LAPANGAN USAHA (2015-2025)</t>
  </si>
  <si>
    <t>Nilai dalam Miliar Rupiah (Tahun Dasar 2010=100)</t>
  </si>
  <si>
    <t>Kode</t>
  </si>
  <si>
    <t>Kategori Lapangan Usaha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</si>
  <si>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</si>
  <si>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</si>
  <si>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</si>
  <si>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</si>
  <si>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</si>
  <si>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</si>
  <si>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</si>
  <si>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</si>
  <si>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</si>
  <si>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2024*</t>
  </si>
  <si>
    <t>2025**</t>
  </si>
  <si>
    <t>A</t>
  </si>
  <si>
    <t>Pertanian, Kehutanan, dan Perikanan</t>
  </si>
  <si>
    <t>B</t>
  </si>
  <si>
    <t>Pertambangan dan Penggalian</t>
  </si>
  <si>
    <t>C</t>
  </si>
  <si>
    <t>Industri Pengolahan</t>
  </si>
  <si>
    <t>D</t>
  </si>
  <si>
    <t>Pengadaan Listrik dan Gas</t>
  </si>
  <si>
    <t>E</t>
  </si>
  <si>
    <t>Pengadaan Air, Pengelolaan Sampah, Limbah &amp; Daur Ulang</t>
  </si>
  <si>
    <t>F</t>
  </si>
  <si>
    <t>Konstruksi</t>
  </si>
  <si>
    <t>G</t>
  </si>
  <si>
    <t>Perdagangan Besar &amp; Eceran; Reparasi Mobil &amp; Motor</t>
  </si>
  <si>
    <t>H</t>
  </si>
  <si>
    <t>Transportasi dan Pergudangan</t>
  </si>
  <si>
    <t>I</t>
  </si>
  <si>
    <t>Penyediaan Akomodasi dan Makan Minum</t>
  </si>
  <si>
    <t>J</t>
  </si>
  <si>
    <t>Informasi dan Komunikasi</t>
  </si>
  <si>
    <t>K</t>
  </si>
  <si>
    <t>Jasa Keuangan dan Asuransi</t>
  </si>
  <si>
    <t>L</t>
  </si>
  <si>
    <t>Real Estat</t>
  </si>
  <si>
    <t>M,N</t>
  </si>
  <si>
    <t>Jasa Perusahaan</t>
  </si>
  <si>
    <t>O</t>
  </si>
  <si>
    <t>Administrasi Pemerintahan, Pertahanan &amp; Jamsos Wajib</t>
  </si>
  <si>
    <t>P</t>
  </si>
  <si>
    <t>Jasa Pendidikan</t>
  </si>
  <si>
    <t>Q</t>
  </si>
  <si>
    <t>Jasa Kesehatan dan Kegiatan Sosial</t>
  </si>
  <si>
    <t>R,S,T,U</t>
  </si>
  <si>
    <t>Jasa Lainnya</t>
  </si>
  <si>
    <t>TOTAL PDRB</t>
  </si>
  <si>
    <t>INDIKATOR UTAMA PDRB KABUPATEN KUNINGAN (2015-2025)</t>
  </si>
  <si>
    <t>Sumber: BPS Kabupaten Kuningan (Seri Revisi Terpadu Menurut Lapangan Usaha &amp; Pengeluaran)</t>
  </si>
  <si>
    <t>Indikator Ekonomi</t>
  </si>
  <si>
    <t>Satuan</t>
  </si>
  <si>
    <t>PDRB Atas Dasar Harga Berlaku (ADHB)</t>
  </si>
  <si>
    <t>Miliar Rp</t>
  </si>
  <si>
    <t>PDRB Atas Dasar Harga Konstan 2010 (ADHK)</t>
  </si>
  <si>
    <t>Laju Pertumbuhan Ekonomi</t>
  </si>
  <si>
    <t>%</t>
  </si>
  <si>
    <t>PDRB Per Kapita ADHB</t>
  </si>
  <si>
    <t>Juta Rp</t>
  </si>
  <si>
    <t>PDRB Per Kapita ADHK 2010</t>
  </si>
  <si>
    <t>Laju Pertumbuhan PDRB Per Kapita (ADHK)</t>
  </si>
  <si>
    <t>Jumlah Penduduk Pertengahan Tahun</t>
  </si>
  <si>
    <t>Ribu Jiwa</t>
  </si>
  <si>
    <t>Indeks Harga Implisit PDRB Total</t>
  </si>
  <si>
    <t>2010=100</t>
  </si>
  <si>
    <t>PDRB KABUPATEN KUNINGAN ATAS DASAR HARGA BERLAKU MENURUT PENGELUARAN (2015-2025)</t>
  </si>
  <si>
    <t>No</t>
  </si>
  <si>
    <t>Komponen Pengeluaran</t>
  </si>
  <si>
    <t>Pengeluaran Konsumsi Rumah Tangga (PK-RT)</t>
  </si>
  <si>
    <t>Pengeluaran Konsumsi LNPRT (PK-LNPRT)</t>
  </si>
  <si>
    <t>Pengeluaran Konsumsi Pemerintah (PK-P)</t>
  </si>
  <si>
    <t>Pembentukan Modal Tetap Bruto (PMTB)</t>
  </si>
  <si>
    <t>Perubahan Inventori</t>
  </si>
  <si>
    <t>Net Ekspor / Impor Antar Daerah</t>
  </si>
  <si>
    <t>TOTAL PDRB PENGELUARAN</t>
  </si>
  <si>
    <t>PDRB KABUPATEN KUNINGAN ATAS DASAR HARGA KONSTAN 2010 MENURUT PENGELUARAN (2015-2025)</t>
  </si>
  <si>
    <t>DISTRIBUSI PERSENTASE PDRB KABUPATEN KUNINGAN ATAS DASAR HARGA BERLAKU (2015-2025)</t>
  </si>
  <si>
    <t>Struktur Permintaan Akhir dalam Persen (%)</t>
  </si>
  <si>
    <t>TOTAL</t>
  </si>
  <si>
    <t>LAJU PERTUMBUHAN PDRB KABUPATEN KUNINGAN MENURUT PENGELUARAN (2015-2025)</t>
  </si>
  <si>
    <t>Pertumbuhan Riil (ADHK 2010) per Komponen Pengeluaran (%)</t>
  </si>
  <si>
    <t>TOTAL PDRB (LPE)</t>
  </si>
  <si>
    <t>INDEKS HARGA IMPLISIT PDRB KABUPATEN KUNINGAN MENURUT PENGELUARAN (2015-2025)</t>
  </si>
  <si>
    <t>Tahun Dasar 2010=100 (Deflator per Komponen Pengeluaran)</t>
  </si>
  <si>
    <t>TOTAL INDEKS HARGA IMPLISIT</t>
  </si>
  <si>
    <t>STRUKTUR &amp; PERKEMBANGAN KONSUMSI RUMAH TANGGA MENURUT 7 KELOMPOK COICOP (2015-2025)</t>
  </si>
  <si>
    <t>Distribusi Persentase (%) Pengeluaran Konsumsi Rumah Tangga Kabupaten Kuningan</t>
  </si>
  <si>
    <t>Kelompok Konsumsi COICOP</t>
  </si>
  <si>
    <t>1</t>
  </si>
  <si>
    <t>Makanan, Minuman, dan Rokok</t>
  </si>
  <si>
    <t>2</t>
  </si>
  <si>
    <t>Pakaian dan Alas Kaki</t>
  </si>
  <si>
    <t>3</t>
  </si>
  <si>
    <t>Perumahan, Perkakas, Perlengkapan &amp; Penyelenggaraan RT</t>
  </si>
  <si>
    <t>4</t>
  </si>
  <si>
    <t>Kesehatan dan Pendidikan</t>
  </si>
  <si>
    <t>5</t>
  </si>
  <si>
    <t>Transportasi, Komunikasi, Rekreasi, dan Budaya</t>
  </si>
  <si>
    <t>6</t>
  </si>
  <si>
    <t>Hotel dan Restoran</t>
  </si>
  <si>
    <t>7</t>
  </si>
  <si>
    <t>Barang dan Jasa Lainnya</t>
  </si>
  <si>
    <t>TOTAL KONSUMSI RUMAH TANGGA</t>
  </si>
  <si>
    <t>ANALISIS INCREMENTAL CAPITAL VALUE ADDED RATIO (ICVAR) KABUPATEN KUNINGAN (2015-2025)</t>
  </si>
  <si>
    <t>Rasio Efisiensi Investasi Fisik terhadap Pertambahan Nilai Tambah Riil (ADHK 2010)</t>
  </si>
  <si>
    <t>Uraian Parameter</t>
  </si>
  <si>
    <t>PDRB ADHK 2010 (Yt)</t>
  </si>
  <si>
    <t>Perubahan Nilai Tambah (ΔY)</t>
  </si>
  <si>
    <t>PMTB ADHK 2010 (It)</t>
  </si>
  <si>
    <t>ICVAR (It / ΔY)</t>
  </si>
  <si>
    <t>Koefisien</t>
  </si>
  <si>
    <t>INDIKATOR SOSIAL EKONOMI KABUPATEN KUNINGAN (2015-2025)</t>
  </si>
  <si>
    <t>Sumber: BPS Kabupaten Kuningan (Data Seri Indikator Sosial, Ketenagakerjaan, Kemiskinan &amp; IPM Terpadu)</t>
  </si>
  <si>
    <t>Indikator Sosial Ekonomi</t>
  </si>
  <si>
    <t>Persentase Penduduk Miskin</t>
  </si>
  <si>
    <t>Indeks Kedalaman Kemiskinan (P1)</t>
  </si>
  <si>
    <t>Indeks</t>
  </si>
  <si>
    <t>Indeks Keparahan Kemiskinan (P2)</t>
  </si>
  <si>
    <t>Garis Kemiskinan</t>
  </si>
  <si>
    <t>Rp/kapita/bln</t>
  </si>
  <si>
    <t>Tingkat Pengangguran Terbuka (TPT)</t>
  </si>
  <si>
    <t>Proporsi Tenaga Kerja Sektor Informal</t>
  </si>
  <si>
    <t>Proporsi Tenaga Kerja Sektor Formal</t>
  </si>
  <si>
    <t>Tingkat Partisipasi Angkatan Kerja (TPAK)</t>
  </si>
  <si>
    <t>Rata-rata Lama Sekolah (RLS)</t>
  </si>
  <si>
    <t>Tahun</t>
  </si>
  <si>
    <t>Harapan Lama Sekolah (HLS)</t>
  </si>
  <si>
    <t>Umur Harapan Hidup (UHH)</t>
  </si>
  <si>
    <t>Pengeluaran Riil per Kapita Disesuaikan</t>
  </si>
  <si>
    <t>Ribu Rp</t>
  </si>
  <si>
    <t>TABEL PENDUKUNG: JUMLAH TENAGA KERJA MENURUT STATUS (JIWA)</t>
  </si>
  <si>
    <t>Status Ketenagakerjaan</t>
  </si>
  <si>
    <t>Tenaga Kerja Sektor Formal</t>
  </si>
  <si>
    <t>Jiwa</t>
  </si>
  <si>
    <t>Tenaga Kerja Sektor Informal</t>
  </si>
  <si>
    <t>Total Penduduk Bekerja</t>
  </si>
  <si>
    <t>TABEL PENDUKUNG: PENGELUARAN KONSUMSI RUMAH TANGGA</t>
  </si>
  <si>
    <t>Indikator Konsumsi</t>
  </si>
  <si>
    <t>Rata-rata Pengeluaran per Kapita Sebulan</t>
  </si>
  <si>
    <t>Rupiah</t>
  </si>
  <si>
    <t>Catatan: * Angka Sementara, ** Angka Sangat Sementara / Proyeksi BPS. Formula proporsi tenaga kerja otomatis terhubung dinamis dengan tabel ketenagakerjaan pendukung.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</si>
</sst>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&quot;%&quot;"/>
  </numFmts>
  <fonts count="12" x14ac:knownFonts="1">
    <font>
      <sz val="11"/>
      <color theme="1"/>
      <name val="Calibri"/>
      <family val="2"/>
      <scheme val="minor"/>
    </font>
    <font>
      <b/>
      <sz val="13"/>
      <color rgb="FF1B365D"/>
      <name val="Calibri"/>
    </font>
    <font>
      <i/>
      <sz val="9"/>
      <color rgb="FF555555"/>
      <name val="Calibri"/>
    </font>
    <font>
      <b/>
      <sz val="11"/>
      <color rgb="FFFFFFFF"/>
      <name val="Calibri"/>
    </font>
    <font>
      <b/>
      <sz val="10"/>
      <name val="Calibri"/>
    </font>
    <font>
      <sz val="10"/>
      <name val="Calibri"/>
    </font>
    <font>
      <sz val="9"/>
      <color rgb="FF555555"/>
      <name val="Calibri"/>
    </font>
    <font>
      <b/>
      <sz val="10"/>
      <color rgb="FF000000"/>
      <name val="Calibri"/>
    </font>
    <font>
      <sz val="10"/>
      <color rgb="FF000000"/>
      <name val="Calibri"/>
    </font>
    <font>
      <b/>
      <sz val="11"/>
      <color rgb="FF1B365D"/>
      <name val="Calibri"/>
    </font>
    <font>
      <i/>
      <sz val="8.5"/>
      <color rgb="FF666666"/>
      <name val="Calibri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E8EEF5"/>
        <bgColor rgb="FFE8EEF5"/>
      </patternFill>
    </fill>
    <fill>
      <patternFill patternType="solid">
        <fgColor rgb="FFDCE6F1"/>
        <bgColor rgb="FFDCE6F1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double">
        <color rgb="FF1B365D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double">
        <color rgb="FF1B365D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4" fontId="5" fillId="3" borderId="1" xfId="0" applyNumberFormat="1" applyFont="1" applyFill="1" applyBorder="1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4" fontId="5" fillId="0" borderId="1" xfId="0" applyNumberFormat="1" applyFont="1" applyBorder="1" applyAlignment="1">
      <alignment horizontal="right" vertical="center"/>
    </xf>
    <xf numFmtId="164" fontId="5" fillId="3" borderId="1" xfId="0" applyNumberFormat="1" applyFont="1" applyFill="1" applyBorder="1" applyAlignment="1">
      <alignment horizontal="right" vertical="center"/>
    </xf>
    <xf numFmtId="164" fontId="5" fillId="0" borderId="1" xfId="0" applyNumberFormat="1" applyFont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4" fillId="4" borderId="2" xfId="0" applyFont="1" applyFill="1" applyBorder="1"/>
    <xf numFmtId="0" fontId="4" fillId="4" borderId="2" xfId="0" applyFont="1" applyFill="1" applyBorder="1" applyAlignment="1">
      <alignment horizontal="left" vertical="center"/>
    </xf>
    <xf numFmtId="4" fontId="4" fillId="4" borderId="2" xfId="0" applyNumberFormat="1" applyFont="1" applyFill="1" applyBorder="1" applyAlignment="1">
      <alignment horizontal="right" vertical="center"/>
    </xf>
    <xf numFmtId="164" fontId="4" fillId="4" borderId="2" xfId="0" applyNumberFormat="1" applyFont="1" applyFill="1" applyBorder="1" applyAlignment="1">
      <alignment horizontal="right" vertical="center"/>
    </xf>
    <xf numFmtId="0" fontId="6" fillId="0" borderId="0" xfId="0" applyFont="1"/>
    <xf numFmtId="0" fontId="3" fillId="2" borderId="3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center" vertical="center"/>
    </xf>
    <xf numFmtId="2" fontId="8" fillId="3" borderId="3" xfId="0" applyNumberFormat="1" applyFont="1" applyFill="1" applyBorder="1" applyAlignment="1">
      <alignment horizontal="right" vertical="center"/>
    </xf>
    <xf numFmtId="0" fontId="7" fillId="5" borderId="3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left" vertical="center"/>
    </xf>
    <xf numFmtId="0" fontId="8" fillId="5" borderId="3" xfId="0" applyFont="1" applyFill="1" applyBorder="1" applyAlignment="1">
      <alignment horizontal="center" vertical="center"/>
    </xf>
    <xf numFmtId="2" fontId="8" fillId="5" borderId="3" xfId="0" applyNumberFormat="1" applyFont="1" applyFill="1" applyBorder="1" applyAlignment="1">
      <alignment horizontal="right" vertical="center"/>
    </xf>
    <xf numFmtId="3" fontId="8" fillId="5" borderId="3" xfId="0" applyNumberFormat="1" applyFont="1" applyFill="1" applyBorder="1" applyAlignment="1">
      <alignment horizontal="right" vertical="center"/>
    </xf>
    <xf numFmtId="3" fontId="8" fillId="3" borderId="3" xfId="0" applyNumberFormat="1" applyFont="1" applyFill="1" applyBorder="1" applyAlignment="1">
      <alignment horizontal="right" vertical="center"/>
    </xf>
    <xf numFmtId="0" fontId="9" fillId="0" borderId="0" xfId="0" applyFont="1"/>
    <xf numFmtId="0" fontId="8" fillId="3" borderId="3" xfId="0" applyFont="1" applyFill="1" applyBorder="1" applyAlignment="1">
      <alignment horizontal="left" vertical="center"/>
    </xf>
    <xf numFmtId="0" fontId="8" fillId="5" borderId="3" xfId="0" applyFont="1" applyFill="1" applyBorder="1" applyAlignment="1">
      <alignment horizontal="left" vertical="center"/>
    </xf>
    <xf numFmtId="0" fontId="0" fillId="3" borderId="4" xfId="0" applyFill="1" applyBorder="1"/>
    <xf numFmtId="0" fontId="7" fillId="3" borderId="4" xfId="0" applyFont="1" applyFill="1" applyBorder="1" applyAlignment="1">
      <alignment horizontal="left" vertical="center"/>
    </xf>
    <xf numFmtId="0" fontId="7" fillId="3" borderId="4" xfId="0" applyFont="1" applyFill="1" applyBorder="1" applyAlignment="1">
      <alignment horizontal="center" vertical="center"/>
    </xf>
    <xf numFmtId="0" fontId="10" fillId="0" borderId="0" xfId="0" applyFont="1"/>
    <xf numFmtId="0" fontId="11" fillId="0" borderId="5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"/>
  <sheetViews>
    <sheetView zoomScale="55" workbookViewId="0">
      <pane xSplit="2" ySplit="4" topLeftCell="I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92" customWidth="1"/>
    <col min="2" max="2" width="12" customWidth="1"/>
    <col min="3" max="13" width="11" customWidth="1"/>
  </cols>
  <sheetData>
    <row r="1" spans="1:13" ht="17.399999999999999" customHeight="1" x14ac:dyDescent="0.35">
      <c r="A1" s="1" t="s">
        <v>50</v>
      </c>
    </row>
    <row r="2" spans="1:13" x14ac:dyDescent="0.3">
      <c r="A2" s="2" t="s">
        <v>51</v>
      </c>
    </row>
    <row r="4" spans="1:13" x14ac:dyDescent="0.3">
      <c r="A4" s="3" t="s">
        <v>52</v>
      </c>
      <c r="B4" s="3" t="s">
        <v>53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</row>
    <row r="5" spans="1:13" x14ac:dyDescent="0.3">
      <c r="A5" s="4" t="s">
        <v>54</v>
      </c>
      <c r="B5" s="5" t="s">
        <v>55</v>
      </c>
      <c r="C5" s="6">
        <v>16986.669999999998</v>
      </c>
      <c r="D5" s="6">
        <v>18563.29</v>
      </c>
      <c r="E5" s="6">
        <v>20463.990000000002</v>
      </c>
      <c r="F5" s="6">
        <v>22764.23</v>
      </c>
      <c r="G5" s="6">
        <v>25093.15</v>
      </c>
      <c r="H5" s="6">
        <v>25618.87</v>
      </c>
      <c r="I5" s="6">
        <v>26919.1</v>
      </c>
      <c r="J5" s="6">
        <v>29519.83</v>
      </c>
      <c r="K5" s="6">
        <v>32544.89</v>
      </c>
      <c r="L5" s="6">
        <v>35535.230000000003</v>
      </c>
      <c r="M5" s="6">
        <v>41955.26</v>
      </c>
    </row>
    <row r="6" spans="1:13" x14ac:dyDescent="0.3">
      <c r="A6" s="7" t="s">
        <v>56</v>
      </c>
      <c r="B6" s="8" t="s">
        <v>55</v>
      </c>
      <c r="C6" s="9">
        <v>13175.67</v>
      </c>
      <c r="D6" s="9">
        <v>13977.77</v>
      </c>
      <c r="E6" s="9">
        <v>14866.62</v>
      </c>
      <c r="F6" s="9">
        <v>15821.96</v>
      </c>
      <c r="G6" s="9">
        <v>16864.150000000001</v>
      </c>
      <c r="H6" s="9">
        <v>16882.759999999998</v>
      </c>
      <c r="I6" s="9">
        <v>17483.560000000001</v>
      </c>
      <c r="J6" s="9">
        <v>18450.34</v>
      </c>
      <c r="K6" s="9">
        <v>19418.73</v>
      </c>
      <c r="L6" s="9">
        <v>20507.22</v>
      </c>
      <c r="M6" s="9">
        <v>21937.73</v>
      </c>
    </row>
    <row r="7" spans="1:13" x14ac:dyDescent="0.3">
      <c r="A7" s="4" t="s">
        <v>57</v>
      </c>
      <c r="B7" s="5" t="s">
        <v>58</v>
      </c>
      <c r="C7" s="10">
        <v>6.38</v>
      </c>
      <c r="D7" s="10">
        <v>6.09</v>
      </c>
      <c r="E7" s="10">
        <v>6.36</v>
      </c>
      <c r="F7" s="10">
        <v>6.43</v>
      </c>
      <c r="G7" s="10">
        <v>6.59</v>
      </c>
      <c r="H7" s="10">
        <v>0.11</v>
      </c>
      <c r="I7" s="10">
        <v>3.56</v>
      </c>
      <c r="J7" s="10">
        <v>5.53</v>
      </c>
      <c r="K7" s="10">
        <v>5.25</v>
      </c>
      <c r="L7" s="10">
        <v>5.61</v>
      </c>
      <c r="M7" s="10">
        <v>6.98</v>
      </c>
    </row>
    <row r="8" spans="1:13" x14ac:dyDescent="0.3">
      <c r="A8" s="7" t="s">
        <v>59</v>
      </c>
      <c r="B8" s="8" t="s">
        <v>60</v>
      </c>
      <c r="C8" s="9">
        <v>16.09</v>
      </c>
      <c r="D8" s="9">
        <v>17.48</v>
      </c>
      <c r="E8" s="9">
        <v>19.16</v>
      </c>
      <c r="F8" s="9">
        <v>21.19</v>
      </c>
      <c r="G8" s="9">
        <v>23.15</v>
      </c>
      <c r="H8" s="9">
        <v>21.99</v>
      </c>
      <c r="I8" s="9">
        <v>22.91</v>
      </c>
      <c r="J8" s="9">
        <v>24.83</v>
      </c>
      <c r="K8" s="9">
        <v>27.08</v>
      </c>
      <c r="L8" s="9">
        <v>29.3</v>
      </c>
      <c r="M8" s="9">
        <v>33.94</v>
      </c>
    </row>
    <row r="9" spans="1:13" x14ac:dyDescent="0.3">
      <c r="A9" s="4" t="s">
        <v>61</v>
      </c>
      <c r="B9" s="5" t="s">
        <v>60</v>
      </c>
      <c r="C9" s="6">
        <v>12.48</v>
      </c>
      <c r="D9" s="6">
        <v>13.16</v>
      </c>
      <c r="E9" s="6">
        <v>13.92</v>
      </c>
      <c r="F9" s="6">
        <v>14.72</v>
      </c>
      <c r="G9" s="6">
        <v>15.56</v>
      </c>
      <c r="H9" s="6">
        <v>14.49</v>
      </c>
      <c r="I9" s="6">
        <v>14.88</v>
      </c>
      <c r="J9" s="6">
        <v>15.52</v>
      </c>
      <c r="K9" s="6">
        <v>16.16</v>
      </c>
      <c r="L9" s="6">
        <v>16.91</v>
      </c>
      <c r="M9" s="6">
        <v>17.75</v>
      </c>
    </row>
    <row r="10" spans="1:13" x14ac:dyDescent="0.3">
      <c r="A10" s="7" t="s">
        <v>62</v>
      </c>
      <c r="B10" s="8" t="s">
        <v>58</v>
      </c>
      <c r="C10" s="11">
        <v>5.74</v>
      </c>
      <c r="D10" s="11">
        <v>5.44</v>
      </c>
      <c r="E10" s="11">
        <v>5.73</v>
      </c>
      <c r="F10" s="11">
        <v>5.8</v>
      </c>
      <c r="G10" s="11">
        <v>5.67</v>
      </c>
      <c r="H10" s="11">
        <v>-6.85</v>
      </c>
      <c r="I10" s="11">
        <v>2.68</v>
      </c>
      <c r="J10" s="11">
        <v>4.29</v>
      </c>
      <c r="K10" s="11">
        <v>4.1100000000000003</v>
      </c>
      <c r="L10" s="11">
        <v>5.61</v>
      </c>
      <c r="M10" s="11">
        <v>4.99</v>
      </c>
    </row>
    <row r="11" spans="1:13" x14ac:dyDescent="0.3">
      <c r="A11" s="4" t="s">
        <v>63</v>
      </c>
      <c r="B11" s="5" t="s">
        <v>64</v>
      </c>
      <c r="C11" s="6">
        <v>1055.42</v>
      </c>
      <c r="D11" s="6">
        <v>1061.8900000000001</v>
      </c>
      <c r="E11" s="6">
        <v>1068.2</v>
      </c>
      <c r="F11" s="6">
        <v>1074.5</v>
      </c>
      <c r="G11" s="6">
        <v>1083.8399999999999</v>
      </c>
      <c r="H11" s="6">
        <v>1164.7</v>
      </c>
      <c r="I11" s="6">
        <v>1175</v>
      </c>
      <c r="J11" s="6">
        <v>1189</v>
      </c>
      <c r="K11" s="6">
        <v>1202</v>
      </c>
      <c r="L11" s="6">
        <v>1213</v>
      </c>
      <c r="M11" s="6">
        <v>1236</v>
      </c>
    </row>
    <row r="12" spans="1:13" x14ac:dyDescent="0.3">
      <c r="A12" s="7" t="s">
        <v>65</v>
      </c>
      <c r="B12" s="8" t="s">
        <v>66</v>
      </c>
      <c r="C12" s="9">
        <v>128.91999999999999</v>
      </c>
      <c r="D12" s="9">
        <v>132.81</v>
      </c>
      <c r="E12" s="9">
        <v>137.65</v>
      </c>
      <c r="F12" s="9">
        <v>143.88</v>
      </c>
      <c r="G12" s="9">
        <v>148.80000000000001</v>
      </c>
      <c r="H12" s="9">
        <v>151.75</v>
      </c>
      <c r="I12" s="9">
        <v>153.97</v>
      </c>
      <c r="J12" s="9">
        <v>160</v>
      </c>
      <c r="K12" s="9">
        <v>167.6</v>
      </c>
      <c r="L12" s="9">
        <v>173.28</v>
      </c>
      <c r="M12" s="9">
        <v>191.25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1"/>
  <sheetViews>
    <sheetView zoomScale="52" workbookViewId="0">
      <pane xSplit="2" ySplit="4" topLeftCell="J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83" customWidth="1"/>
    <col min="2" max="2" width="44" customWidth="1"/>
    <col min="3" max="13" width="15" customWidth="1"/>
  </cols>
  <sheetData>
    <row r="1" spans="1:13" ht="17.399999999999999" customHeight="1" x14ac:dyDescent="0.35">
      <c r="A1" s="1" t="s">
        <v>67</v>
      </c>
    </row>
    <row r="2" spans="1:13" x14ac:dyDescent="0.3">
      <c r="A2" s="2" t="s">
        <v>1</v>
      </c>
    </row>
    <row r="4" spans="1:13" x14ac:dyDescent="0.3">
      <c r="A4" s="3" t="s">
        <v>68</v>
      </c>
      <c r="B4" s="3" t="s">
        <v>69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</row>
    <row r="5" spans="1:13" x14ac:dyDescent="0.3">
      <c r="A5" s="12">
        <v>1</v>
      </c>
      <c r="B5" s="13" t="s">
        <v>70</v>
      </c>
      <c r="C5" s="6">
        <v>15187.65</v>
      </c>
      <c r="D5" s="6">
        <v>16653.97</v>
      </c>
      <c r="E5" s="6">
        <v>18004.72</v>
      </c>
      <c r="F5" s="6">
        <v>19450.5</v>
      </c>
      <c r="G5" s="6">
        <v>20935.78</v>
      </c>
      <c r="H5" s="6">
        <v>21054.34</v>
      </c>
      <c r="I5" s="6">
        <v>21870.85</v>
      </c>
      <c r="J5" s="6">
        <v>23999.64</v>
      </c>
      <c r="K5" s="6">
        <v>26627.66</v>
      </c>
      <c r="L5" s="6">
        <v>28522.77</v>
      </c>
      <c r="M5" s="6">
        <v>30899.3</v>
      </c>
    </row>
    <row r="6" spans="1:13" x14ac:dyDescent="0.3">
      <c r="A6" s="14">
        <v>2</v>
      </c>
      <c r="B6" s="15" t="s">
        <v>71</v>
      </c>
      <c r="C6" s="9">
        <v>420.87</v>
      </c>
      <c r="D6" s="9">
        <v>452.5</v>
      </c>
      <c r="E6" s="9">
        <v>490.45</v>
      </c>
      <c r="F6" s="9">
        <v>587.41</v>
      </c>
      <c r="G6" s="9">
        <v>623.11</v>
      </c>
      <c r="H6" s="9">
        <v>606.20000000000005</v>
      </c>
      <c r="I6" s="9">
        <v>627.74</v>
      </c>
      <c r="J6" s="9">
        <v>680.82</v>
      </c>
      <c r="K6" s="9">
        <v>762.17</v>
      </c>
      <c r="L6" s="9">
        <v>852.13</v>
      </c>
      <c r="M6" s="9">
        <v>907.07</v>
      </c>
    </row>
    <row r="7" spans="1:13" x14ac:dyDescent="0.3">
      <c r="A7" s="12">
        <v>3</v>
      </c>
      <c r="B7" s="13" t="s">
        <v>72</v>
      </c>
      <c r="C7" s="6">
        <v>2423.06</v>
      </c>
      <c r="D7" s="6">
        <v>2617.27</v>
      </c>
      <c r="E7" s="6">
        <v>2734.41</v>
      </c>
      <c r="F7" s="6">
        <v>2905.37</v>
      </c>
      <c r="G7" s="6">
        <v>3021.2</v>
      </c>
      <c r="H7" s="6">
        <v>3030.98</v>
      </c>
      <c r="I7" s="6">
        <v>3202.13</v>
      </c>
      <c r="J7" s="6">
        <v>3202.6</v>
      </c>
      <c r="K7" s="6">
        <v>3320.62</v>
      </c>
      <c r="L7" s="6">
        <v>3597.56</v>
      </c>
      <c r="M7" s="6">
        <v>3676.14</v>
      </c>
    </row>
    <row r="8" spans="1:13" x14ac:dyDescent="0.3">
      <c r="A8" s="14">
        <v>4</v>
      </c>
      <c r="B8" s="15" t="s">
        <v>73</v>
      </c>
      <c r="C8" s="9">
        <v>4498.38</v>
      </c>
      <c r="D8" s="9">
        <v>4745.58</v>
      </c>
      <c r="E8" s="9">
        <v>5182.3</v>
      </c>
      <c r="F8" s="9">
        <v>5833.39</v>
      </c>
      <c r="G8" s="9">
        <v>6312.61</v>
      </c>
      <c r="H8" s="9">
        <v>5904.43</v>
      </c>
      <c r="I8" s="9">
        <v>6611.67</v>
      </c>
      <c r="J8" s="9">
        <v>7183.57</v>
      </c>
      <c r="K8" s="9">
        <v>7901.72</v>
      </c>
      <c r="L8" s="9">
        <v>8030.42</v>
      </c>
      <c r="M8" s="9">
        <v>8875.81</v>
      </c>
    </row>
    <row r="9" spans="1:13" x14ac:dyDescent="0.3">
      <c r="A9" s="12">
        <v>5</v>
      </c>
      <c r="B9" s="13" t="s">
        <v>74</v>
      </c>
      <c r="C9" s="6">
        <v>556.76</v>
      </c>
      <c r="D9" s="6">
        <v>617.53</v>
      </c>
      <c r="E9" s="6">
        <v>612.23</v>
      </c>
      <c r="F9" s="6">
        <v>655.25</v>
      </c>
      <c r="G9" s="6">
        <v>667.89</v>
      </c>
      <c r="H9" s="6">
        <v>270.23</v>
      </c>
      <c r="I9" s="6">
        <v>-158.79</v>
      </c>
      <c r="J9" s="6">
        <v>33.28</v>
      </c>
      <c r="K9" s="6">
        <v>5.36</v>
      </c>
      <c r="L9" s="6">
        <v>28.54</v>
      </c>
      <c r="M9" s="6">
        <v>-9.84</v>
      </c>
    </row>
    <row r="10" spans="1:13" x14ac:dyDescent="0.3">
      <c r="A10" s="14">
        <v>6</v>
      </c>
      <c r="B10" s="15" t="s">
        <v>75</v>
      </c>
      <c r="C10" s="9">
        <v>-6100.05</v>
      </c>
      <c r="D10" s="9">
        <v>-6523.56</v>
      </c>
      <c r="E10" s="9">
        <v>-6560.12</v>
      </c>
      <c r="F10" s="9">
        <v>-6667.7</v>
      </c>
      <c r="G10" s="9">
        <v>-6467.44</v>
      </c>
      <c r="H10" s="9">
        <v>-5247.31</v>
      </c>
      <c r="I10" s="9">
        <v>-5234.5</v>
      </c>
      <c r="J10" s="9">
        <v>-5580.08</v>
      </c>
      <c r="K10" s="9">
        <v>-6072.64</v>
      </c>
      <c r="L10" s="9">
        <v>-5496.19</v>
      </c>
      <c r="M10" s="9">
        <v>-2393.2199999999998</v>
      </c>
    </row>
    <row r="11" spans="1:13" x14ac:dyDescent="0.3">
      <c r="A11" s="16"/>
      <c r="B11" s="17" t="s">
        <v>76</v>
      </c>
      <c r="C11" s="18">
        <f t="shared" ref="C11:M11" si="0">SUM(C5:C10)</f>
        <v>16986.670000000002</v>
      </c>
      <c r="D11" s="18">
        <f t="shared" si="0"/>
        <v>18563.289999999997</v>
      </c>
      <c r="E11" s="18">
        <f t="shared" si="0"/>
        <v>20463.990000000002</v>
      </c>
      <c r="F11" s="18">
        <f t="shared" si="0"/>
        <v>22764.219999999998</v>
      </c>
      <c r="G11" s="18">
        <f t="shared" si="0"/>
        <v>25093.15</v>
      </c>
      <c r="H11" s="18">
        <f t="shared" si="0"/>
        <v>25618.87</v>
      </c>
      <c r="I11" s="18">
        <f t="shared" si="0"/>
        <v>26919.1</v>
      </c>
      <c r="J11" s="18">
        <f t="shared" si="0"/>
        <v>29519.829999999994</v>
      </c>
      <c r="K11" s="18">
        <f t="shared" si="0"/>
        <v>32544.89</v>
      </c>
      <c r="L11" s="18">
        <f t="shared" si="0"/>
        <v>35535.229999999996</v>
      </c>
      <c r="M11" s="18">
        <f t="shared" si="0"/>
        <v>41955.26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1"/>
  <sheetViews>
    <sheetView zoomScale="67" workbookViewId="0">
      <pane xSplit="2" ySplit="4" topLeftCell="M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88" customWidth="1"/>
    <col min="2" max="2" width="44" customWidth="1"/>
    <col min="3" max="13" width="15" customWidth="1"/>
  </cols>
  <sheetData>
    <row r="1" spans="1:13" ht="17.399999999999999" customHeight="1" x14ac:dyDescent="0.35">
      <c r="A1" s="1" t="s">
        <v>77</v>
      </c>
    </row>
    <row r="2" spans="1:13" x14ac:dyDescent="0.3">
      <c r="A2" s="2" t="s">
        <v>1</v>
      </c>
    </row>
    <row r="4" spans="1:13" x14ac:dyDescent="0.3">
      <c r="A4" s="3" t="s">
        <v>68</v>
      </c>
      <c r="B4" s="3" t="s">
        <v>69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</row>
    <row r="5" spans="1:13" x14ac:dyDescent="0.3">
      <c r="A5" s="12">
        <v>1</v>
      </c>
      <c r="B5" s="13" t="s">
        <v>70</v>
      </c>
      <c r="C5" s="6">
        <v>11577.53</v>
      </c>
      <c r="D5" s="6">
        <v>12161.99</v>
      </c>
      <c r="E5" s="6">
        <v>12686.47</v>
      </c>
      <c r="F5" s="6">
        <v>13227.73</v>
      </c>
      <c r="G5" s="6">
        <v>13751.98</v>
      </c>
      <c r="H5" s="6">
        <v>13527.84</v>
      </c>
      <c r="I5" s="6">
        <v>13750.83</v>
      </c>
      <c r="J5" s="6">
        <v>14380.52</v>
      </c>
      <c r="K5" s="6">
        <v>15141.16</v>
      </c>
      <c r="L5" s="6">
        <v>15673.01</v>
      </c>
      <c r="M5" s="6">
        <v>16539.78</v>
      </c>
    </row>
    <row r="6" spans="1:13" x14ac:dyDescent="0.3">
      <c r="A6" s="14">
        <v>2</v>
      </c>
      <c r="B6" s="15" t="s">
        <v>71</v>
      </c>
      <c r="C6" s="9">
        <v>336.99</v>
      </c>
      <c r="D6" s="9">
        <v>355.65</v>
      </c>
      <c r="E6" s="9">
        <v>370.68</v>
      </c>
      <c r="F6" s="9">
        <v>414.71</v>
      </c>
      <c r="G6" s="9">
        <v>425.03</v>
      </c>
      <c r="H6" s="9">
        <v>405.3</v>
      </c>
      <c r="I6" s="9">
        <v>413.95</v>
      </c>
      <c r="J6" s="9">
        <v>432.37</v>
      </c>
      <c r="K6" s="9">
        <v>459.03</v>
      </c>
      <c r="L6" s="9">
        <v>509.48</v>
      </c>
      <c r="M6" s="9">
        <v>540.91999999999996</v>
      </c>
    </row>
    <row r="7" spans="1:13" x14ac:dyDescent="0.3">
      <c r="A7" s="12">
        <v>3</v>
      </c>
      <c r="B7" s="13" t="s">
        <v>72</v>
      </c>
      <c r="C7" s="6">
        <v>1727.4</v>
      </c>
      <c r="D7" s="6">
        <v>1791.29</v>
      </c>
      <c r="E7" s="6">
        <v>1787.4</v>
      </c>
      <c r="F7" s="6">
        <v>1860.57</v>
      </c>
      <c r="G7" s="6">
        <v>1917.42</v>
      </c>
      <c r="H7" s="6">
        <v>1899.12</v>
      </c>
      <c r="I7" s="6">
        <v>1967.12</v>
      </c>
      <c r="J7" s="6">
        <v>1921.91</v>
      </c>
      <c r="K7" s="6">
        <v>1947.05</v>
      </c>
      <c r="L7" s="6">
        <v>2033.63</v>
      </c>
      <c r="M7" s="6">
        <v>2034.99</v>
      </c>
    </row>
    <row r="8" spans="1:13" x14ac:dyDescent="0.3">
      <c r="A8" s="14">
        <v>4</v>
      </c>
      <c r="B8" s="15" t="s">
        <v>73</v>
      </c>
      <c r="C8" s="9">
        <v>3470.44</v>
      </c>
      <c r="D8" s="9">
        <v>3583.79</v>
      </c>
      <c r="E8" s="9">
        <v>3822.81</v>
      </c>
      <c r="F8" s="9">
        <v>4127.51</v>
      </c>
      <c r="G8" s="9">
        <v>4326.8999999999996</v>
      </c>
      <c r="H8" s="9">
        <v>4026.59</v>
      </c>
      <c r="I8" s="9">
        <v>4299.5600000000004</v>
      </c>
      <c r="J8" s="9">
        <v>4422.26</v>
      </c>
      <c r="K8" s="9">
        <v>4569.5</v>
      </c>
      <c r="L8" s="9">
        <v>4769.22</v>
      </c>
      <c r="M8" s="9">
        <v>5160.29</v>
      </c>
    </row>
    <row r="9" spans="1:13" x14ac:dyDescent="0.3">
      <c r="A9" s="12">
        <v>5</v>
      </c>
      <c r="B9" s="13" t="s">
        <v>74</v>
      </c>
      <c r="C9" s="6">
        <v>396.22</v>
      </c>
      <c r="D9" s="6">
        <v>409.76</v>
      </c>
      <c r="E9" s="6">
        <v>386.41</v>
      </c>
      <c r="F9" s="6">
        <v>392.64</v>
      </c>
      <c r="G9" s="6">
        <v>393.34</v>
      </c>
      <c r="H9" s="6">
        <v>158.12</v>
      </c>
      <c r="I9" s="6">
        <v>-87.73</v>
      </c>
      <c r="J9" s="6">
        <v>18.329999999999998</v>
      </c>
      <c r="K9" s="6">
        <v>2.85</v>
      </c>
      <c r="L9" s="6">
        <v>13.4</v>
      </c>
      <c r="M9" s="6">
        <v>-4.92</v>
      </c>
    </row>
    <row r="10" spans="1:13" x14ac:dyDescent="0.3">
      <c r="A10" s="14">
        <v>6</v>
      </c>
      <c r="B10" s="15" t="s">
        <v>75</v>
      </c>
      <c r="C10" s="9">
        <v>-4332.8999999999996</v>
      </c>
      <c r="D10" s="9">
        <v>-4324.7</v>
      </c>
      <c r="E10" s="9">
        <v>-4187.1499999999996</v>
      </c>
      <c r="F10" s="9">
        <v>-4201.2</v>
      </c>
      <c r="G10" s="9">
        <v>-3950.52</v>
      </c>
      <c r="H10" s="9">
        <v>-3134.22</v>
      </c>
      <c r="I10" s="9">
        <v>-2860.17</v>
      </c>
      <c r="J10" s="9">
        <v>-2725.04</v>
      </c>
      <c r="K10" s="9">
        <v>-2700.86</v>
      </c>
      <c r="L10" s="9">
        <v>-2493</v>
      </c>
      <c r="M10" s="9">
        <v>-2332.61</v>
      </c>
    </row>
    <row r="11" spans="1:13" x14ac:dyDescent="0.3">
      <c r="A11" s="16"/>
      <c r="B11" s="17" t="s">
        <v>76</v>
      </c>
      <c r="C11" s="18">
        <f t="shared" ref="C11:M11" si="0">SUM(C5:C10)</f>
        <v>13175.680000000002</v>
      </c>
      <c r="D11" s="18">
        <f t="shared" si="0"/>
        <v>13977.779999999999</v>
      </c>
      <c r="E11" s="18">
        <f t="shared" si="0"/>
        <v>14866.62</v>
      </c>
      <c r="F11" s="18">
        <f t="shared" si="0"/>
        <v>15821.959999999995</v>
      </c>
      <c r="G11" s="18">
        <f t="shared" si="0"/>
        <v>16864.150000000001</v>
      </c>
      <c r="H11" s="18">
        <f t="shared" si="0"/>
        <v>16882.749999999996</v>
      </c>
      <c r="I11" s="18">
        <f t="shared" si="0"/>
        <v>17483.560000000005</v>
      </c>
      <c r="J11" s="18">
        <f t="shared" si="0"/>
        <v>18450.350000000006</v>
      </c>
      <c r="K11" s="18">
        <f t="shared" si="0"/>
        <v>19418.73</v>
      </c>
      <c r="L11" s="18">
        <f t="shared" si="0"/>
        <v>20505.740000000002</v>
      </c>
      <c r="M11" s="18">
        <f t="shared" si="0"/>
        <v>21938.45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1"/>
  <sheetViews>
    <sheetView zoomScale="64" workbookViewId="0">
      <pane xSplit="2" ySplit="4" topLeftCell="M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85" customWidth="1"/>
    <col min="2" max="2" width="44" customWidth="1"/>
    <col min="3" max="13" width="18" customWidth="1"/>
  </cols>
  <sheetData>
    <row r="1" spans="1:13" ht="17.399999999999999" customHeight="1" x14ac:dyDescent="0.35">
      <c r="A1" s="1" t="s">
        <v>78</v>
      </c>
    </row>
    <row r="2" spans="1:13" x14ac:dyDescent="0.3">
      <c r="A2" s="2" t="s">
        <v>79</v>
      </c>
    </row>
    <row r="4" spans="1:13" x14ac:dyDescent="0.3">
      <c r="A4" s="3" t="s">
        <v>68</v>
      </c>
      <c r="B4" s="3" t="s">
        <v>69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</row>
    <row r="5" spans="1:13" x14ac:dyDescent="0.3">
      <c r="A5" s="12">
        <v>1</v>
      </c>
      <c r="B5" s="13" t="s">
        <v>70</v>
      </c>
      <c r="C5" s="10">
        <v>89.41</v>
      </c>
      <c r="D5" s="10">
        <v>89.71</v>
      </c>
      <c r="E5" s="10">
        <v>87.98</v>
      </c>
      <c r="F5" s="10">
        <v>85.44</v>
      </c>
      <c r="G5" s="10">
        <v>83.43</v>
      </c>
      <c r="H5" s="10">
        <v>82.18</v>
      </c>
      <c r="I5" s="10">
        <v>81.25</v>
      </c>
      <c r="J5" s="10">
        <v>81.3</v>
      </c>
      <c r="K5" s="10">
        <v>81.819999999999993</v>
      </c>
      <c r="L5" s="10">
        <v>80.260000000000005</v>
      </c>
      <c r="M5" s="10">
        <v>73.650000000000006</v>
      </c>
    </row>
    <row r="6" spans="1:13" x14ac:dyDescent="0.3">
      <c r="A6" s="14">
        <v>2</v>
      </c>
      <c r="B6" s="15" t="s">
        <v>71</v>
      </c>
      <c r="C6" s="11">
        <v>2.48</v>
      </c>
      <c r="D6" s="11">
        <v>2.44</v>
      </c>
      <c r="E6" s="11">
        <v>2.4</v>
      </c>
      <c r="F6" s="11">
        <v>2.58</v>
      </c>
      <c r="G6" s="11">
        <v>2.48</v>
      </c>
      <c r="H6" s="11">
        <v>2.37</v>
      </c>
      <c r="I6" s="11">
        <v>2.33</v>
      </c>
      <c r="J6" s="11">
        <v>2.31</v>
      </c>
      <c r="K6" s="11">
        <v>2.34</v>
      </c>
      <c r="L6" s="11">
        <v>2.4</v>
      </c>
      <c r="M6" s="11">
        <v>2.16</v>
      </c>
    </row>
    <row r="7" spans="1:13" x14ac:dyDescent="0.3">
      <c r="A7" s="12">
        <v>3</v>
      </c>
      <c r="B7" s="13" t="s">
        <v>72</v>
      </c>
      <c r="C7" s="10">
        <v>14.26</v>
      </c>
      <c r="D7" s="10">
        <v>14.1</v>
      </c>
      <c r="E7" s="10">
        <v>13.36</v>
      </c>
      <c r="F7" s="10">
        <v>12.76</v>
      </c>
      <c r="G7" s="10">
        <v>12.04</v>
      </c>
      <c r="H7" s="10">
        <v>11.83</v>
      </c>
      <c r="I7" s="10">
        <v>11.9</v>
      </c>
      <c r="J7" s="10">
        <v>10.85</v>
      </c>
      <c r="K7" s="10">
        <v>10.199999999999999</v>
      </c>
      <c r="L7" s="10">
        <v>10.119999999999999</v>
      </c>
      <c r="M7" s="10">
        <v>8.76</v>
      </c>
    </row>
    <row r="8" spans="1:13" x14ac:dyDescent="0.3">
      <c r="A8" s="14">
        <v>4</v>
      </c>
      <c r="B8" s="15" t="s">
        <v>73</v>
      </c>
      <c r="C8" s="11">
        <v>26.48</v>
      </c>
      <c r="D8" s="11">
        <v>25.56</v>
      </c>
      <c r="E8" s="11">
        <v>25.32</v>
      </c>
      <c r="F8" s="11">
        <v>25.63</v>
      </c>
      <c r="G8" s="11">
        <v>25.16</v>
      </c>
      <c r="H8" s="11">
        <v>23.05</v>
      </c>
      <c r="I8" s="11">
        <v>24.56</v>
      </c>
      <c r="J8" s="11">
        <v>24.33</v>
      </c>
      <c r="K8" s="11">
        <v>24.28</v>
      </c>
      <c r="L8" s="11">
        <v>22.6</v>
      </c>
      <c r="M8" s="11">
        <v>21.16</v>
      </c>
    </row>
    <row r="9" spans="1:13" x14ac:dyDescent="0.3">
      <c r="A9" s="12">
        <v>5</v>
      </c>
      <c r="B9" s="13" t="s">
        <v>74</v>
      </c>
      <c r="C9" s="10">
        <v>3.28</v>
      </c>
      <c r="D9" s="10">
        <v>3.33</v>
      </c>
      <c r="E9" s="10">
        <v>2.99</v>
      </c>
      <c r="F9" s="10">
        <v>2.88</v>
      </c>
      <c r="G9" s="10">
        <v>2.66</v>
      </c>
      <c r="H9" s="10">
        <v>1.05</v>
      </c>
      <c r="I9" s="10">
        <v>-0.59</v>
      </c>
      <c r="J9" s="10">
        <v>0.11</v>
      </c>
      <c r="K9" s="10">
        <v>0.02</v>
      </c>
      <c r="L9" s="10">
        <v>0.08</v>
      </c>
      <c r="M9" s="10">
        <v>-0.02</v>
      </c>
    </row>
    <row r="10" spans="1:13" x14ac:dyDescent="0.3">
      <c r="A10" s="14">
        <v>6</v>
      </c>
      <c r="B10" s="15" t="s">
        <v>75</v>
      </c>
      <c r="C10" s="11">
        <v>-35.909999999999997</v>
      </c>
      <c r="D10" s="11">
        <v>-35.14</v>
      </c>
      <c r="E10" s="11">
        <v>-32.06</v>
      </c>
      <c r="F10" s="11">
        <v>-29.29</v>
      </c>
      <c r="G10" s="11">
        <v>-25.77</v>
      </c>
      <c r="H10" s="11">
        <v>-20.48</v>
      </c>
      <c r="I10" s="11">
        <v>-19.45</v>
      </c>
      <c r="J10" s="11">
        <v>-18.899999999999999</v>
      </c>
      <c r="K10" s="11">
        <v>-18.66</v>
      </c>
      <c r="L10" s="11">
        <v>-15.47</v>
      </c>
      <c r="M10" s="11">
        <v>-5.7</v>
      </c>
    </row>
    <row r="11" spans="1:13" x14ac:dyDescent="0.3">
      <c r="A11" s="16"/>
      <c r="B11" s="17" t="s">
        <v>80</v>
      </c>
      <c r="C11" s="19">
        <f t="shared" ref="C11:M11" si="0">SUM(C5:C10)</f>
        <v>100</v>
      </c>
      <c r="D11" s="19">
        <f t="shared" si="0"/>
        <v>99.999999999999986</v>
      </c>
      <c r="E11" s="19">
        <f t="shared" si="0"/>
        <v>99.990000000000009</v>
      </c>
      <c r="F11" s="19">
        <f t="shared" si="0"/>
        <v>100</v>
      </c>
      <c r="G11" s="19">
        <f t="shared" si="0"/>
        <v>100.00000000000001</v>
      </c>
      <c r="H11" s="19">
        <f t="shared" si="0"/>
        <v>100</v>
      </c>
      <c r="I11" s="19">
        <f t="shared" si="0"/>
        <v>100</v>
      </c>
      <c r="J11" s="19">
        <f t="shared" si="0"/>
        <v>100</v>
      </c>
      <c r="K11" s="19">
        <f t="shared" si="0"/>
        <v>100</v>
      </c>
      <c r="L11" s="19">
        <f t="shared" si="0"/>
        <v>99.990000000000023</v>
      </c>
      <c r="M11" s="19">
        <f t="shared" si="0"/>
        <v>100.01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1"/>
  <sheetViews>
    <sheetView zoomScale="64" workbookViewId="0">
      <pane xSplit="2" ySplit="4" topLeftCell="L5" activePane="bottomRight" state="frozen"/>
      <selection pane="topRight"/>
      <selection pane="bottomLeft"/>
      <selection pane="bottomRight" activeCell="I18" sqref="I18:M19"/>
    </sheetView>
  </sheetViews>
  <sheetFormatPr defaultRowHeight="14.4" x14ac:dyDescent="0.3"/>
  <cols>
    <col min="1" max="1" width="75" customWidth="1"/>
    <col min="2" max="2" width="44" customWidth="1"/>
    <col min="3" max="3" width="12" customWidth="1"/>
    <col min="4" max="7" width="11" customWidth="1"/>
    <col min="8" max="8" width="12" customWidth="1"/>
    <col min="9" max="9" width="13" customWidth="1"/>
    <col min="10" max="12" width="12" customWidth="1"/>
    <col min="13" max="13" width="13" customWidth="1"/>
  </cols>
  <sheetData>
    <row r="1" spans="1:13" ht="17.399999999999999" customHeight="1" x14ac:dyDescent="0.35">
      <c r="A1" s="1" t="s">
        <v>81</v>
      </c>
    </row>
    <row r="2" spans="1:13" x14ac:dyDescent="0.3">
      <c r="A2" s="2" t="s">
        <v>82</v>
      </c>
    </row>
    <row r="4" spans="1:13" x14ac:dyDescent="0.3">
      <c r="A4" s="3" t="s">
        <v>68</v>
      </c>
      <c r="B4" s="3" t="s">
        <v>69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</row>
    <row r="5" spans="1:13" x14ac:dyDescent="0.3">
      <c r="A5" s="12">
        <v>1</v>
      </c>
      <c r="B5" s="13" t="s">
        <v>70</v>
      </c>
      <c r="C5" s="10">
        <v>4.37</v>
      </c>
      <c r="D5" s="10">
        <v>5.05</v>
      </c>
      <c r="E5" s="10">
        <v>4.3099999999999996</v>
      </c>
      <c r="F5" s="10">
        <v>4.2699999999999996</v>
      </c>
      <c r="G5" s="10">
        <v>3.96</v>
      </c>
      <c r="H5" s="10">
        <v>-1.63</v>
      </c>
      <c r="I5" s="10">
        <v>1.65</v>
      </c>
      <c r="J5" s="10">
        <v>4.58</v>
      </c>
      <c r="K5" s="10">
        <v>5.29</v>
      </c>
      <c r="L5" s="10">
        <v>3.52</v>
      </c>
      <c r="M5" s="10">
        <v>5.53</v>
      </c>
    </row>
    <row r="6" spans="1:13" x14ac:dyDescent="0.3">
      <c r="A6" s="14">
        <v>2</v>
      </c>
      <c r="B6" s="15" t="s">
        <v>71</v>
      </c>
      <c r="C6" s="11">
        <v>-3.57</v>
      </c>
      <c r="D6" s="11">
        <v>5.54</v>
      </c>
      <c r="E6" s="11">
        <v>4.2300000000000004</v>
      </c>
      <c r="F6" s="11">
        <v>11.88</v>
      </c>
      <c r="G6" s="11">
        <v>2.4900000000000002</v>
      </c>
      <c r="H6" s="11">
        <v>-4.6399999999999997</v>
      </c>
      <c r="I6" s="11">
        <v>2.13</v>
      </c>
      <c r="J6" s="11">
        <v>4.45</v>
      </c>
      <c r="K6" s="11">
        <v>6.17</v>
      </c>
      <c r="L6" s="11">
        <v>11.09</v>
      </c>
      <c r="M6" s="11">
        <v>5.94</v>
      </c>
    </row>
    <row r="7" spans="1:13" x14ac:dyDescent="0.3">
      <c r="A7" s="12">
        <v>3</v>
      </c>
      <c r="B7" s="13" t="s">
        <v>72</v>
      </c>
      <c r="C7" s="10">
        <v>8.18</v>
      </c>
      <c r="D7" s="10">
        <v>3.7</v>
      </c>
      <c r="E7" s="10">
        <v>-0.22</v>
      </c>
      <c r="F7" s="10">
        <v>4.09</v>
      </c>
      <c r="G7" s="10">
        <v>3.06</v>
      </c>
      <c r="H7" s="10">
        <v>-0.95</v>
      </c>
      <c r="I7" s="10">
        <v>3.58</v>
      </c>
      <c r="J7" s="10">
        <v>-2.2999999999999998</v>
      </c>
      <c r="K7" s="10">
        <v>1.31</v>
      </c>
      <c r="L7" s="10">
        <v>4.45</v>
      </c>
      <c r="M7" s="10">
        <v>0.06</v>
      </c>
    </row>
    <row r="8" spans="1:13" x14ac:dyDescent="0.3">
      <c r="A8" s="14">
        <v>4</v>
      </c>
      <c r="B8" s="15" t="s">
        <v>73</v>
      </c>
      <c r="C8" s="11">
        <v>4.29</v>
      </c>
      <c r="D8" s="11">
        <v>3.27</v>
      </c>
      <c r="E8" s="11">
        <v>6.67</v>
      </c>
      <c r="F8" s="11">
        <v>7.97</v>
      </c>
      <c r="G8" s="11">
        <v>4.83</v>
      </c>
      <c r="H8" s="11">
        <v>-6.94</v>
      </c>
      <c r="I8" s="11">
        <v>6.78</v>
      </c>
      <c r="J8" s="11">
        <v>2.85</v>
      </c>
      <c r="K8" s="11">
        <v>3.33</v>
      </c>
      <c r="L8" s="11">
        <v>4.38</v>
      </c>
      <c r="M8" s="11">
        <v>8.19</v>
      </c>
    </row>
    <row r="9" spans="1:13" x14ac:dyDescent="0.3">
      <c r="A9" s="12">
        <v>5</v>
      </c>
      <c r="B9" s="13" t="s">
        <v>74</v>
      </c>
      <c r="C9" s="10">
        <v>-13.59</v>
      </c>
      <c r="D9" s="10">
        <v>3.42</v>
      </c>
      <c r="E9" s="10">
        <v>-5.7</v>
      </c>
      <c r="F9" s="10">
        <v>1.61</v>
      </c>
      <c r="G9" s="10">
        <v>0.57999999999999996</v>
      </c>
      <c r="H9" s="10">
        <v>-41.89</v>
      </c>
      <c r="I9" s="10">
        <v>-155.47999999999999</v>
      </c>
      <c r="J9" s="10">
        <v>120.89</v>
      </c>
      <c r="K9" s="10">
        <v>-84.45</v>
      </c>
      <c r="L9" s="10">
        <v>370.18</v>
      </c>
      <c r="M9" s="10">
        <v>-136.72</v>
      </c>
    </row>
    <row r="10" spans="1:13" x14ac:dyDescent="0.3">
      <c r="A10" s="14">
        <v>6</v>
      </c>
      <c r="B10" s="15" t="s">
        <v>75</v>
      </c>
      <c r="C10" s="11">
        <v>-2.4</v>
      </c>
      <c r="D10" s="11">
        <v>-0.19</v>
      </c>
      <c r="E10" s="11">
        <v>-3.18</v>
      </c>
      <c r="F10" s="11">
        <v>0.34</v>
      </c>
      <c r="G10" s="11">
        <v>-5.97</v>
      </c>
      <c r="H10" s="11">
        <v>-20.66</v>
      </c>
      <c r="I10" s="11">
        <v>-8.74</v>
      </c>
      <c r="J10" s="11">
        <v>-4.72</v>
      </c>
      <c r="K10" s="11">
        <v>-0.89</v>
      </c>
      <c r="L10" s="11">
        <v>-7.7</v>
      </c>
      <c r="M10" s="11">
        <v>-6.43</v>
      </c>
    </row>
    <row r="11" spans="1:13" x14ac:dyDescent="0.3">
      <c r="A11" s="16"/>
      <c r="B11" s="17" t="s">
        <v>83</v>
      </c>
      <c r="C11" s="19">
        <v>6.38</v>
      </c>
      <c r="D11" s="19">
        <v>6.09</v>
      </c>
      <c r="E11" s="19">
        <v>6.36</v>
      </c>
      <c r="F11" s="19">
        <v>6.43</v>
      </c>
      <c r="G11" s="19">
        <v>6.59</v>
      </c>
      <c r="H11" s="19">
        <v>0.11</v>
      </c>
      <c r="I11" s="19">
        <v>3.56</v>
      </c>
      <c r="J11" s="19">
        <v>5.53</v>
      </c>
      <c r="K11" s="19">
        <v>5.25</v>
      </c>
      <c r="L11" s="19">
        <v>5.61</v>
      </c>
      <c r="M11" s="19">
        <v>6.98</v>
      </c>
    </row>
    <row r="12" spans="1:13" ht="15" customHeight="1" thickTop="1" x14ac:dyDescent="0.3"/>
    <row r="13" spans="1:13" x14ac:dyDescent="0.3">
      <c r="I13" s="3" t="s">
        <v>10</v>
      </c>
      <c r="J13" s="3" t="s">
        <v>11</v>
      </c>
      <c r="K13" s="3" t="s">
        <v>12</v>
      </c>
      <c r="L13" s="3" t="s">
        <v>13</v>
      </c>
      <c r="M13" s="3" t="s">
        <v>14</v>
      </c>
    </row>
    <row r="14" spans="1:13" x14ac:dyDescent="0.3">
      <c r="I14" s="10">
        <v>1.65</v>
      </c>
      <c r="J14" s="10">
        <v>4.58</v>
      </c>
      <c r="K14" s="10">
        <v>5.29</v>
      </c>
      <c r="L14" s="10">
        <v>3.52</v>
      </c>
      <c r="M14" s="10">
        <v>5.53</v>
      </c>
    </row>
    <row r="15" spans="1:13" x14ac:dyDescent="0.3">
      <c r="I15" s="11">
        <v>2.13</v>
      </c>
      <c r="J15" s="11">
        <v>4.45</v>
      </c>
      <c r="K15" s="11">
        <v>6.17</v>
      </c>
      <c r="L15" s="11">
        <v>11.09</v>
      </c>
      <c r="M15" s="11">
        <v>5.94</v>
      </c>
    </row>
    <row r="16" spans="1:13" x14ac:dyDescent="0.3">
      <c r="I16" s="10">
        <v>3.58</v>
      </c>
      <c r="J16" s="10">
        <v>-2.2999999999999998</v>
      </c>
      <c r="K16" s="10">
        <v>1.31</v>
      </c>
      <c r="L16" s="10">
        <v>4.45</v>
      </c>
      <c r="M16" s="10">
        <v>0.06</v>
      </c>
    </row>
    <row r="17" spans="9:13" x14ac:dyDescent="0.3">
      <c r="I17" s="11">
        <v>6.78</v>
      </c>
      <c r="J17" s="11">
        <v>2.85</v>
      </c>
      <c r="K17" s="11">
        <v>3.33</v>
      </c>
      <c r="L17" s="11">
        <v>4.38</v>
      </c>
      <c r="M17" s="11">
        <v>8.19</v>
      </c>
    </row>
    <row r="18" spans="9:13" x14ac:dyDescent="0.3">
      <c r="I18" s="10"/>
      <c r="J18" s="10"/>
      <c r="K18" s="10"/>
      <c r="L18" s="10"/>
      <c r="M18" s="10"/>
    </row>
    <row r="19" spans="9:13" x14ac:dyDescent="0.3">
      <c r="I19" s="11"/>
      <c r="J19" s="11"/>
      <c r="K19" s="11"/>
      <c r="L19" s="11"/>
      <c r="M19" s="11"/>
    </row>
    <row r="20" spans="9:13" ht="15" customHeight="1" thickBot="1" x14ac:dyDescent="0.35">
      <c r="I20" s="19">
        <v>3.56</v>
      </c>
      <c r="J20" s="19">
        <v>5.53</v>
      </c>
      <c r="K20" s="19">
        <v>5.25</v>
      </c>
      <c r="L20" s="19">
        <v>5.61</v>
      </c>
      <c r="M20" s="19">
        <v>6.98</v>
      </c>
    </row>
    <row r="21" spans="9:13" ht="15" customHeight="1" thickTop="1" x14ac:dyDescent="0.3"/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1"/>
  <sheetViews>
    <sheetView zoomScale="69" workbookViewId="0">
      <pane xSplit="2" ySplit="4" topLeftCell="M5" activePane="bottomRight" state="frozen"/>
      <selection pane="topRight"/>
      <selection pane="bottomLeft"/>
      <selection pane="bottomRight" activeCell="B20" sqref="B20"/>
    </sheetView>
  </sheetViews>
  <sheetFormatPr defaultRowHeight="14.4" x14ac:dyDescent="0.3"/>
  <cols>
    <col min="1" max="1" width="80" customWidth="1"/>
    <col min="2" max="2" width="44" customWidth="1"/>
    <col min="3" max="13" width="11" customWidth="1"/>
  </cols>
  <sheetData>
    <row r="1" spans="1:13" ht="17.399999999999999" customHeight="1" x14ac:dyDescent="0.35">
      <c r="A1" s="1" t="s">
        <v>84</v>
      </c>
    </row>
    <row r="2" spans="1:13" x14ac:dyDescent="0.3">
      <c r="A2" s="2" t="s">
        <v>85</v>
      </c>
    </row>
    <row r="4" spans="1:13" x14ac:dyDescent="0.3">
      <c r="A4" s="3" t="s">
        <v>68</v>
      </c>
      <c r="B4" s="3" t="s">
        <v>69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</row>
    <row r="5" spans="1:13" x14ac:dyDescent="0.3">
      <c r="A5" s="12">
        <v>1</v>
      </c>
      <c r="B5" s="13" t="s">
        <v>70</v>
      </c>
      <c r="C5" s="6">
        <v>131.18</v>
      </c>
      <c r="D5" s="6">
        <v>136.93</v>
      </c>
      <c r="E5" s="6">
        <v>141.91999999999999</v>
      </c>
      <c r="F5" s="6">
        <v>147.04</v>
      </c>
      <c r="G5" s="6">
        <v>152.24</v>
      </c>
      <c r="H5" s="6">
        <v>155.63999999999999</v>
      </c>
      <c r="I5" s="6">
        <v>159.05000000000001</v>
      </c>
      <c r="J5" s="6">
        <v>166.89</v>
      </c>
      <c r="K5" s="6">
        <v>175.86</v>
      </c>
      <c r="L5" s="6">
        <v>181.98</v>
      </c>
      <c r="M5" s="6">
        <v>186.82</v>
      </c>
    </row>
    <row r="6" spans="1:13" x14ac:dyDescent="0.3">
      <c r="A6" s="14">
        <v>2</v>
      </c>
      <c r="B6" s="15" t="s">
        <v>71</v>
      </c>
      <c r="C6" s="9">
        <v>124.89</v>
      </c>
      <c r="D6" s="9">
        <v>127.23</v>
      </c>
      <c r="E6" s="9">
        <v>132.31</v>
      </c>
      <c r="F6" s="9">
        <v>141.65</v>
      </c>
      <c r="G6" s="9">
        <v>146.6</v>
      </c>
      <c r="H6" s="9">
        <v>149.57</v>
      </c>
      <c r="I6" s="9">
        <v>151.65</v>
      </c>
      <c r="J6" s="9">
        <v>157.46</v>
      </c>
      <c r="K6" s="9">
        <v>166.04</v>
      </c>
      <c r="L6" s="9">
        <v>167.11</v>
      </c>
      <c r="M6" s="9">
        <v>167.91</v>
      </c>
    </row>
    <row r="7" spans="1:13" x14ac:dyDescent="0.3">
      <c r="A7" s="12">
        <v>3</v>
      </c>
      <c r="B7" s="13" t="s">
        <v>72</v>
      </c>
      <c r="C7" s="6">
        <v>140.27000000000001</v>
      </c>
      <c r="D7" s="6">
        <v>146.11000000000001</v>
      </c>
      <c r="E7" s="6">
        <v>152.97999999999999</v>
      </c>
      <c r="F7" s="6">
        <v>156.15</v>
      </c>
      <c r="G7" s="6">
        <v>157.57</v>
      </c>
      <c r="H7" s="6">
        <v>159.6</v>
      </c>
      <c r="I7" s="6">
        <v>162.78</v>
      </c>
      <c r="J7" s="6">
        <v>166.64</v>
      </c>
      <c r="K7" s="6">
        <v>170.55</v>
      </c>
      <c r="L7" s="6">
        <v>176.88</v>
      </c>
      <c r="M7" s="6">
        <v>180.65</v>
      </c>
    </row>
    <row r="8" spans="1:13" x14ac:dyDescent="0.3">
      <c r="A8" s="14">
        <v>4</v>
      </c>
      <c r="B8" s="15" t="s">
        <v>73</v>
      </c>
      <c r="C8" s="9">
        <v>129.62</v>
      </c>
      <c r="D8" s="9">
        <v>132.41999999999999</v>
      </c>
      <c r="E8" s="9">
        <v>135.56</v>
      </c>
      <c r="F8" s="9">
        <v>141.33000000000001</v>
      </c>
      <c r="G8" s="9">
        <v>145.88999999999999</v>
      </c>
      <c r="H8" s="9">
        <v>146.63999999999999</v>
      </c>
      <c r="I8" s="9">
        <v>153.78</v>
      </c>
      <c r="J8" s="9">
        <v>162.44</v>
      </c>
      <c r="K8" s="9">
        <v>172.92</v>
      </c>
      <c r="L8" s="9">
        <v>168.37</v>
      </c>
      <c r="M8" s="9">
        <v>172</v>
      </c>
    </row>
    <row r="9" spans="1:13" x14ac:dyDescent="0.3">
      <c r="A9" s="12">
        <v>5</v>
      </c>
      <c r="B9" s="13" t="s">
        <v>74</v>
      </c>
      <c r="C9" s="6">
        <v>140.52000000000001</v>
      </c>
      <c r="D9" s="6">
        <v>150.71</v>
      </c>
      <c r="E9" s="6">
        <v>158.44</v>
      </c>
      <c r="F9" s="6">
        <v>166.88</v>
      </c>
      <c r="G9" s="6">
        <v>169.8</v>
      </c>
      <c r="H9" s="6">
        <v>170.9</v>
      </c>
      <c r="I9" s="6">
        <v>180.99</v>
      </c>
      <c r="J9" s="6">
        <v>181.58</v>
      </c>
      <c r="K9" s="6">
        <v>188.4</v>
      </c>
      <c r="L9" s="6">
        <v>208.89</v>
      </c>
      <c r="M9" s="6">
        <v>199.99</v>
      </c>
    </row>
    <row r="10" spans="1:13" x14ac:dyDescent="0.3">
      <c r="A10" s="14">
        <v>6</v>
      </c>
      <c r="B10" s="15" t="s">
        <v>75</v>
      </c>
      <c r="C10" s="9">
        <v>140.78</v>
      </c>
      <c r="D10" s="9">
        <v>150.84</v>
      </c>
      <c r="E10" s="9">
        <v>156.66999999999999</v>
      </c>
      <c r="F10" s="9">
        <v>158.71</v>
      </c>
      <c r="G10" s="9">
        <v>163.71</v>
      </c>
      <c r="H10" s="9">
        <v>167.42</v>
      </c>
      <c r="I10" s="9">
        <v>183.01</v>
      </c>
      <c r="J10" s="9">
        <v>204.77</v>
      </c>
      <c r="K10" s="9">
        <v>224.84</v>
      </c>
      <c r="L10" s="9">
        <v>220.41</v>
      </c>
      <c r="M10" s="9">
        <v>102.6</v>
      </c>
    </row>
    <row r="11" spans="1:13" x14ac:dyDescent="0.3">
      <c r="A11" s="16"/>
      <c r="B11" s="17" t="s">
        <v>86</v>
      </c>
      <c r="C11" s="18">
        <v>128.91999999999999</v>
      </c>
      <c r="D11" s="18">
        <v>132.81</v>
      </c>
      <c r="E11" s="18">
        <v>137.65</v>
      </c>
      <c r="F11" s="18">
        <v>143.88</v>
      </c>
      <c r="G11" s="18">
        <v>148.80000000000001</v>
      </c>
      <c r="H11" s="18">
        <v>151.75</v>
      </c>
      <c r="I11" s="18">
        <v>153.97</v>
      </c>
      <c r="J11" s="18">
        <v>160</v>
      </c>
      <c r="K11" s="18">
        <v>167.6</v>
      </c>
      <c r="L11" s="18">
        <v>173.28</v>
      </c>
      <c r="M11" s="18">
        <v>191.25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2"/>
  <sheetViews>
    <sheetView zoomScale="51" workbookViewId="0">
      <pane xSplit="2" ySplit="4" topLeftCell="K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86" customWidth="1"/>
    <col min="2" max="2" width="57" customWidth="1"/>
    <col min="3" max="13" width="18" customWidth="1"/>
  </cols>
  <sheetData>
    <row r="1" spans="1:13" ht="17.399999999999999" customHeight="1" x14ac:dyDescent="0.35">
      <c r="A1" s="1" t="s">
        <v>87</v>
      </c>
    </row>
    <row r="2" spans="1:13" x14ac:dyDescent="0.3">
      <c r="A2" s="2" t="s">
        <v>88</v>
      </c>
    </row>
    <row r="4" spans="1:13" x14ac:dyDescent="0.3">
      <c r="A4" s="3" t="s">
        <v>2</v>
      </c>
      <c r="B4" s="3" t="s">
        <v>89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</row>
    <row r="5" spans="1:13" x14ac:dyDescent="0.3">
      <c r="A5" s="12" t="s">
        <v>90</v>
      </c>
      <c r="B5" s="13" t="s">
        <v>91</v>
      </c>
      <c r="C5" s="10">
        <v>47.31</v>
      </c>
      <c r="D5" s="10">
        <v>48.89</v>
      </c>
      <c r="E5" s="10">
        <v>49.08</v>
      </c>
      <c r="F5" s="10">
        <v>49.53</v>
      </c>
      <c r="G5" s="10">
        <v>49.96</v>
      </c>
      <c r="H5" s="10">
        <v>51</v>
      </c>
      <c r="I5" s="10">
        <v>51.31</v>
      </c>
      <c r="J5" s="10">
        <v>51.48</v>
      </c>
      <c r="K5" s="10">
        <v>51.8</v>
      </c>
      <c r="L5" s="10">
        <v>53.43</v>
      </c>
      <c r="M5" s="10">
        <v>53.12</v>
      </c>
    </row>
    <row r="6" spans="1:13" x14ac:dyDescent="0.3">
      <c r="A6" s="14" t="s">
        <v>92</v>
      </c>
      <c r="B6" s="15" t="s">
        <v>93</v>
      </c>
      <c r="C6" s="11">
        <v>5.36</v>
      </c>
      <c r="D6" s="11">
        <v>5.24</v>
      </c>
      <c r="E6" s="11">
        <v>5.13</v>
      </c>
      <c r="F6" s="11">
        <v>5.21</v>
      </c>
      <c r="G6" s="11">
        <v>5.28</v>
      </c>
      <c r="H6" s="11">
        <v>5.07</v>
      </c>
      <c r="I6" s="11">
        <v>4.99</v>
      </c>
      <c r="J6" s="11">
        <v>4.84</v>
      </c>
      <c r="K6" s="11">
        <v>4.6900000000000004</v>
      </c>
      <c r="L6" s="11">
        <v>4.4800000000000004</v>
      </c>
      <c r="M6" s="11">
        <v>4.4000000000000004</v>
      </c>
    </row>
    <row r="7" spans="1:13" x14ac:dyDescent="0.3">
      <c r="A7" s="12" t="s">
        <v>94</v>
      </c>
      <c r="B7" s="13" t="s">
        <v>95</v>
      </c>
      <c r="C7" s="10">
        <v>10.17</v>
      </c>
      <c r="D7" s="10">
        <v>9.9</v>
      </c>
      <c r="E7" s="10">
        <v>9.89</v>
      </c>
      <c r="F7" s="10">
        <v>9.65</v>
      </c>
      <c r="G7" s="10">
        <v>9.26</v>
      </c>
      <c r="H7" s="10">
        <v>9.2899999999999991</v>
      </c>
      <c r="I7" s="10">
        <v>9.1300000000000008</v>
      </c>
      <c r="J7" s="10">
        <v>9</v>
      </c>
      <c r="K7" s="10">
        <v>8.77</v>
      </c>
      <c r="L7" s="10">
        <v>8.42</v>
      </c>
      <c r="M7" s="10">
        <v>8.41</v>
      </c>
    </row>
    <row r="8" spans="1:13" x14ac:dyDescent="0.3">
      <c r="A8" s="14" t="s">
        <v>96</v>
      </c>
      <c r="B8" s="15" t="s">
        <v>97</v>
      </c>
      <c r="C8" s="11">
        <v>5.96</v>
      </c>
      <c r="D8" s="11">
        <v>5.76</v>
      </c>
      <c r="E8" s="11">
        <v>5.84</v>
      </c>
      <c r="F8" s="11">
        <v>5.81</v>
      </c>
      <c r="G8" s="11">
        <v>5.83</v>
      </c>
      <c r="H8" s="11">
        <v>6.07</v>
      </c>
      <c r="I8" s="11">
        <v>6.09</v>
      </c>
      <c r="J8" s="11">
        <v>5.86</v>
      </c>
      <c r="K8" s="11">
        <v>5.63</v>
      </c>
      <c r="L8" s="11">
        <v>5.33</v>
      </c>
      <c r="M8" s="11">
        <v>5.3</v>
      </c>
    </row>
    <row r="9" spans="1:13" x14ac:dyDescent="0.3">
      <c r="A9" s="12" t="s">
        <v>98</v>
      </c>
      <c r="B9" s="13" t="s">
        <v>99</v>
      </c>
      <c r="C9" s="10">
        <v>19.64</v>
      </c>
      <c r="D9" s="10">
        <v>19.18</v>
      </c>
      <c r="E9" s="10">
        <v>19.170000000000002</v>
      </c>
      <c r="F9" s="10">
        <v>19.03</v>
      </c>
      <c r="G9" s="10">
        <v>18.89</v>
      </c>
      <c r="H9" s="10">
        <v>17.690000000000001</v>
      </c>
      <c r="I9" s="10">
        <v>17.670000000000002</v>
      </c>
      <c r="J9" s="10">
        <v>18.2</v>
      </c>
      <c r="K9" s="10">
        <v>18.86</v>
      </c>
      <c r="L9" s="10">
        <v>18.14</v>
      </c>
      <c r="M9" s="10">
        <v>17.940000000000001</v>
      </c>
    </row>
    <row r="10" spans="1:13" x14ac:dyDescent="0.3">
      <c r="A10" s="14" t="s">
        <v>100</v>
      </c>
      <c r="B10" s="15" t="s">
        <v>101</v>
      </c>
      <c r="C10" s="11">
        <v>1.91</v>
      </c>
      <c r="D10" s="11">
        <v>1.91</v>
      </c>
      <c r="E10" s="11">
        <v>1.9</v>
      </c>
      <c r="F10" s="11">
        <v>1.9</v>
      </c>
      <c r="G10" s="11">
        <v>1.86</v>
      </c>
      <c r="H10" s="11">
        <v>1.81</v>
      </c>
      <c r="I10" s="11">
        <v>1.79</v>
      </c>
      <c r="J10" s="11">
        <v>1.79</v>
      </c>
      <c r="K10" s="11">
        <v>1.79</v>
      </c>
      <c r="L10" s="11">
        <v>1.71</v>
      </c>
      <c r="M10" s="11">
        <v>1.68</v>
      </c>
    </row>
    <row r="11" spans="1:13" x14ac:dyDescent="0.3">
      <c r="A11" s="12" t="s">
        <v>102</v>
      </c>
      <c r="B11" s="13" t="s">
        <v>103</v>
      </c>
      <c r="C11" s="10">
        <v>9.65</v>
      </c>
      <c r="D11" s="10">
        <v>9.1199999999999992</v>
      </c>
      <c r="E11" s="10">
        <v>8.99</v>
      </c>
      <c r="F11" s="10">
        <v>8.8699999999999992</v>
      </c>
      <c r="G11" s="10">
        <v>8.92</v>
      </c>
      <c r="H11" s="10">
        <v>9.07</v>
      </c>
      <c r="I11" s="10">
        <v>9.02</v>
      </c>
      <c r="J11" s="10">
        <v>8.83</v>
      </c>
      <c r="K11" s="10">
        <v>8.4600000000000009</v>
      </c>
      <c r="L11" s="10">
        <v>8.49</v>
      </c>
      <c r="M11" s="10">
        <v>9.15</v>
      </c>
    </row>
    <row r="12" spans="1:13" x14ac:dyDescent="0.3">
      <c r="A12" s="16"/>
      <c r="B12" s="17" t="s">
        <v>104</v>
      </c>
      <c r="C12" s="19">
        <f t="shared" ref="C12:M12" si="0">SUM(C5:C11)</f>
        <v>100</v>
      </c>
      <c r="D12" s="19">
        <f t="shared" si="0"/>
        <v>100</v>
      </c>
      <c r="E12" s="19">
        <f t="shared" si="0"/>
        <v>100</v>
      </c>
      <c r="F12" s="19">
        <f t="shared" si="0"/>
        <v>100.00000000000001</v>
      </c>
      <c r="G12" s="19">
        <f t="shared" si="0"/>
        <v>100</v>
      </c>
      <c r="H12" s="19">
        <f t="shared" si="0"/>
        <v>100</v>
      </c>
      <c r="I12" s="19">
        <f t="shared" si="0"/>
        <v>100.00000000000001</v>
      </c>
      <c r="J12" s="19">
        <f t="shared" si="0"/>
        <v>100</v>
      </c>
      <c r="K12" s="19">
        <f t="shared" si="0"/>
        <v>100</v>
      </c>
      <c r="L12" s="19">
        <f t="shared" si="0"/>
        <v>99.999999999999986</v>
      </c>
      <c r="M12" s="19">
        <f t="shared" si="0"/>
        <v>100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22"/>
  <sheetViews>
    <sheetView zoomScale="57" workbookViewId="0">
      <pane xSplit="2" ySplit="4" topLeftCell="J5" activePane="bottomRight" state="frozen"/>
      <selection pane="topRight"/>
      <selection pane="bottomLeft"/>
      <selection pane="bottomRight" activeCell="L22" sqref="L22"/>
    </sheetView>
  </sheetViews>
  <sheetFormatPr defaultRowHeight="14.4" x14ac:dyDescent="0.3"/>
  <cols>
    <col min="1" max="1" width="62.88671875" customWidth="1"/>
    <col min="2" max="2" width="57" customWidth="1"/>
    <col min="3" max="13" width="15" customWidth="1"/>
  </cols>
  <sheetData>
    <row r="1" spans="1:13" ht="17.399999999999999" customHeight="1" x14ac:dyDescent="0.35">
      <c r="A1" s="1" t="s">
        <v>0</v>
      </c>
    </row>
    <row r="2" spans="1:13" x14ac:dyDescent="0.3">
      <c r="A2" s="2" t="s">
        <v>1</v>
      </c>
    </row>
    <row r="4" spans="1:13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</row>
    <row r="5" spans="1:13" x14ac:dyDescent="0.3">
      <c r="A5" s="12" t="s">
        <v>15</v>
      </c>
      <c r="B5" s="13" t="s">
        <v>16</v>
      </c>
      <c r="C5" s="6">
        <v>4069.41</v>
      </c>
      <c r="D5" s="6">
        <v>4439.4399999999996</v>
      </c>
      <c r="E5" s="6">
        <v>4868.26</v>
      </c>
      <c r="F5" s="6">
        <v>5511.08</v>
      </c>
      <c r="G5" s="6">
        <v>6113.44</v>
      </c>
      <c r="H5" s="6">
        <v>6302.21</v>
      </c>
      <c r="I5" s="6">
        <v>6435.08</v>
      </c>
      <c r="J5" s="6">
        <v>7026.81</v>
      </c>
      <c r="K5" s="6">
        <v>7723.37</v>
      </c>
      <c r="L5" s="6">
        <v>8253.9230000000007</v>
      </c>
      <c r="M5" s="6">
        <v>10666.9</v>
      </c>
    </row>
    <row r="6" spans="1:13" x14ac:dyDescent="0.3">
      <c r="A6" s="14" t="s">
        <v>17</v>
      </c>
      <c r="B6" s="15" t="s">
        <v>18</v>
      </c>
      <c r="C6" s="9">
        <v>306.42</v>
      </c>
      <c r="D6" s="9">
        <v>307.91000000000003</v>
      </c>
      <c r="E6" s="9">
        <v>300.73</v>
      </c>
      <c r="F6" s="9">
        <v>305.31</v>
      </c>
      <c r="G6" s="9">
        <v>303.55</v>
      </c>
      <c r="H6" s="9">
        <v>312.73</v>
      </c>
      <c r="I6" s="9">
        <v>369.59</v>
      </c>
      <c r="J6" s="9">
        <v>375.77</v>
      </c>
      <c r="K6" s="9">
        <v>407.76</v>
      </c>
      <c r="L6" s="9">
        <v>419.64100000000002</v>
      </c>
      <c r="M6" s="9">
        <v>428.07600000000002</v>
      </c>
    </row>
    <row r="7" spans="1:13" x14ac:dyDescent="0.3">
      <c r="A7" s="12" t="s">
        <v>19</v>
      </c>
      <c r="B7" s="13" t="s">
        <v>20</v>
      </c>
      <c r="C7" s="6">
        <v>395.68</v>
      </c>
      <c r="D7" s="6">
        <v>439.42</v>
      </c>
      <c r="E7" s="6">
        <v>473.64</v>
      </c>
      <c r="F7" s="6">
        <v>508.87</v>
      </c>
      <c r="G7" s="6">
        <v>561.95000000000005</v>
      </c>
      <c r="H7" s="6">
        <v>577.69000000000005</v>
      </c>
      <c r="I7" s="6">
        <v>610.72</v>
      </c>
      <c r="J7" s="6">
        <v>663.71</v>
      </c>
      <c r="K7" s="6">
        <v>719.05</v>
      </c>
      <c r="L7" s="6">
        <v>805.33600000000001</v>
      </c>
      <c r="M7" s="6">
        <v>890.64599999999996</v>
      </c>
    </row>
    <row r="8" spans="1:13" x14ac:dyDescent="0.3">
      <c r="A8" s="14" t="s">
        <v>21</v>
      </c>
      <c r="B8" s="15" t="s">
        <v>22</v>
      </c>
      <c r="C8" s="9">
        <v>13.36</v>
      </c>
      <c r="D8" s="9">
        <v>15.86</v>
      </c>
      <c r="E8" s="9">
        <v>19.07</v>
      </c>
      <c r="F8" s="9">
        <v>21.43</v>
      </c>
      <c r="G8" s="9">
        <v>22.89</v>
      </c>
      <c r="H8" s="9">
        <v>22.38</v>
      </c>
      <c r="I8" s="9">
        <v>25.49</v>
      </c>
      <c r="J8" s="9">
        <v>27.32</v>
      </c>
      <c r="K8" s="9">
        <v>28.79</v>
      </c>
      <c r="L8" s="9">
        <v>27.628</v>
      </c>
      <c r="M8" s="9">
        <v>25.26</v>
      </c>
    </row>
    <row r="9" spans="1:13" x14ac:dyDescent="0.3">
      <c r="A9" s="12" t="s">
        <v>23</v>
      </c>
      <c r="B9" s="13" t="s">
        <v>24</v>
      </c>
      <c r="C9" s="6">
        <v>14.21</v>
      </c>
      <c r="D9" s="6">
        <v>16.149999999999999</v>
      </c>
      <c r="E9" s="6">
        <v>18.850000000000001</v>
      </c>
      <c r="F9" s="6">
        <v>21.84</v>
      </c>
      <c r="G9" s="6">
        <v>23.88</v>
      </c>
      <c r="H9" s="6">
        <v>26.32</v>
      </c>
      <c r="I9" s="6">
        <v>28.56</v>
      </c>
      <c r="J9" s="6">
        <v>30.01</v>
      </c>
      <c r="K9" s="6">
        <v>31.11</v>
      </c>
      <c r="L9" s="6">
        <v>36.686999999999998</v>
      </c>
      <c r="M9" s="6">
        <v>45.57</v>
      </c>
    </row>
    <row r="10" spans="1:13" x14ac:dyDescent="0.3">
      <c r="A10" s="14" t="s">
        <v>25</v>
      </c>
      <c r="B10" s="15" t="s">
        <v>26</v>
      </c>
      <c r="C10" s="9">
        <v>1524.86</v>
      </c>
      <c r="D10" s="9">
        <v>1612.94</v>
      </c>
      <c r="E10" s="9">
        <v>1797.32</v>
      </c>
      <c r="F10" s="9">
        <v>2022.81</v>
      </c>
      <c r="G10" s="9">
        <v>2237.71</v>
      </c>
      <c r="H10" s="9">
        <v>2090.1999999999998</v>
      </c>
      <c r="I10" s="9">
        <v>2342.69</v>
      </c>
      <c r="J10" s="9">
        <v>2533.8000000000002</v>
      </c>
      <c r="K10" s="9">
        <v>2750.9</v>
      </c>
      <c r="L10" s="9">
        <v>2868.0410000000002</v>
      </c>
      <c r="M10" s="9">
        <v>3031.9679999999998</v>
      </c>
    </row>
    <row r="11" spans="1:13" x14ac:dyDescent="0.3">
      <c r="A11" s="12" t="s">
        <v>27</v>
      </c>
      <c r="B11" s="13" t="s">
        <v>28</v>
      </c>
      <c r="C11" s="6">
        <v>2640.93</v>
      </c>
      <c r="D11" s="6">
        <v>2800.77</v>
      </c>
      <c r="E11" s="6">
        <v>3001.19</v>
      </c>
      <c r="F11" s="6">
        <v>3238.07</v>
      </c>
      <c r="G11" s="6">
        <v>3578.48</v>
      </c>
      <c r="H11" s="6">
        <v>3586.95</v>
      </c>
      <c r="I11" s="6">
        <v>3785.58</v>
      </c>
      <c r="J11" s="6">
        <v>4106.71</v>
      </c>
      <c r="K11" s="6">
        <v>4424.7299999999996</v>
      </c>
      <c r="L11" s="6">
        <v>4773.3450000000003</v>
      </c>
      <c r="M11" s="6">
        <v>5419.8109999999997</v>
      </c>
    </row>
    <row r="12" spans="1:13" x14ac:dyDescent="0.3">
      <c r="A12" s="14" t="s">
        <v>29</v>
      </c>
      <c r="B12" s="15" t="s">
        <v>30</v>
      </c>
      <c r="C12" s="9">
        <v>2585.6</v>
      </c>
      <c r="D12" s="9">
        <v>2862.98</v>
      </c>
      <c r="E12" s="9">
        <v>3103.89</v>
      </c>
      <c r="F12" s="9">
        <v>3351.58</v>
      </c>
      <c r="G12" s="9">
        <v>3574.37</v>
      </c>
      <c r="H12" s="9">
        <v>3591.64</v>
      </c>
      <c r="I12" s="9">
        <v>3673.81</v>
      </c>
      <c r="J12" s="9">
        <v>4353.13</v>
      </c>
      <c r="K12" s="9">
        <v>5194.09</v>
      </c>
      <c r="L12" s="9">
        <v>6276.1329999999998</v>
      </c>
      <c r="M12" s="9">
        <v>7786.0559999999996</v>
      </c>
    </row>
    <row r="13" spans="1:13" x14ac:dyDescent="0.3">
      <c r="A13" s="12" t="s">
        <v>31</v>
      </c>
      <c r="B13" s="13" t="s">
        <v>32</v>
      </c>
      <c r="C13" s="6">
        <v>292.58999999999997</v>
      </c>
      <c r="D13" s="6">
        <v>326.64999999999998</v>
      </c>
      <c r="E13" s="6">
        <v>370.2</v>
      </c>
      <c r="F13" s="6">
        <v>420.08</v>
      </c>
      <c r="G13" s="6">
        <v>466.02</v>
      </c>
      <c r="H13" s="6">
        <v>466.23</v>
      </c>
      <c r="I13" s="6">
        <v>484.72</v>
      </c>
      <c r="J13" s="6">
        <v>568.47</v>
      </c>
      <c r="K13" s="6">
        <v>641.89</v>
      </c>
      <c r="L13" s="6">
        <v>692.77300000000002</v>
      </c>
      <c r="M13" s="6">
        <v>796.10500000000002</v>
      </c>
    </row>
    <row r="14" spans="1:13" x14ac:dyDescent="0.3">
      <c r="A14" s="14" t="s">
        <v>33</v>
      </c>
      <c r="B14" s="15" t="s">
        <v>34</v>
      </c>
      <c r="C14" s="9">
        <v>592.41</v>
      </c>
      <c r="D14" s="9">
        <v>660.71</v>
      </c>
      <c r="E14" s="9">
        <v>743.31</v>
      </c>
      <c r="F14" s="9">
        <v>813.89</v>
      </c>
      <c r="G14" s="9">
        <v>880.41</v>
      </c>
      <c r="H14" s="9">
        <v>1094.1500000000001</v>
      </c>
      <c r="I14" s="9">
        <v>1154.7</v>
      </c>
      <c r="J14" s="9">
        <v>1211.23</v>
      </c>
      <c r="K14" s="9">
        <v>1306.6400000000001</v>
      </c>
      <c r="L14" s="9">
        <v>1483.0239999999999</v>
      </c>
      <c r="M14" s="9">
        <v>1782.202</v>
      </c>
    </row>
    <row r="15" spans="1:13" x14ac:dyDescent="0.3">
      <c r="A15" s="12" t="s">
        <v>35</v>
      </c>
      <c r="B15" s="13" t="s">
        <v>36</v>
      </c>
      <c r="C15" s="6">
        <v>910.95</v>
      </c>
      <c r="D15" s="6">
        <v>1040.8800000000001</v>
      </c>
      <c r="E15" s="6">
        <v>1154.28</v>
      </c>
      <c r="F15" s="6">
        <v>1275.98</v>
      </c>
      <c r="G15" s="6">
        <v>1392.98</v>
      </c>
      <c r="H15" s="6">
        <v>1414.09</v>
      </c>
      <c r="I15" s="6">
        <v>1557.61</v>
      </c>
      <c r="J15" s="6">
        <v>1667.16</v>
      </c>
      <c r="K15" s="6">
        <v>1789.77</v>
      </c>
      <c r="L15" s="6">
        <v>1913.2650000000001</v>
      </c>
      <c r="M15" s="6">
        <v>2205.415</v>
      </c>
    </row>
    <row r="16" spans="1:13" x14ac:dyDescent="0.3">
      <c r="A16" s="14" t="s">
        <v>37</v>
      </c>
      <c r="B16" s="15" t="s">
        <v>38</v>
      </c>
      <c r="C16" s="9">
        <v>445.47</v>
      </c>
      <c r="D16" s="9">
        <v>482.82</v>
      </c>
      <c r="E16" s="9">
        <v>534.64</v>
      </c>
      <c r="F16" s="9">
        <v>590.34</v>
      </c>
      <c r="G16" s="9">
        <v>646.47</v>
      </c>
      <c r="H16" s="9">
        <v>655.42</v>
      </c>
      <c r="I16" s="9">
        <v>732.08</v>
      </c>
      <c r="J16" s="9">
        <v>798.74</v>
      </c>
      <c r="K16" s="9">
        <v>865.88</v>
      </c>
      <c r="L16" s="9">
        <v>913.005</v>
      </c>
      <c r="M16" s="9">
        <v>1026.2529999999999</v>
      </c>
    </row>
    <row r="17" spans="1:13" x14ac:dyDescent="0.3">
      <c r="A17" s="12" t="s">
        <v>39</v>
      </c>
      <c r="B17" s="13" t="s">
        <v>40</v>
      </c>
      <c r="C17" s="6">
        <v>66.31</v>
      </c>
      <c r="D17" s="6">
        <v>73.010000000000005</v>
      </c>
      <c r="E17" s="6">
        <v>81.75</v>
      </c>
      <c r="F17" s="6">
        <v>94.66</v>
      </c>
      <c r="G17" s="6">
        <v>113.55</v>
      </c>
      <c r="H17" s="6">
        <v>112.74</v>
      </c>
      <c r="I17" s="6">
        <v>123.82</v>
      </c>
      <c r="J17" s="6">
        <v>145.33000000000001</v>
      </c>
      <c r="K17" s="6">
        <v>161.88999999999999</v>
      </c>
      <c r="L17" s="6">
        <v>156.322</v>
      </c>
      <c r="M17" s="6">
        <v>184.571</v>
      </c>
    </row>
    <row r="18" spans="1:13" x14ac:dyDescent="0.3">
      <c r="A18" s="14" t="s">
        <v>41</v>
      </c>
      <c r="B18" s="15" t="s">
        <v>42</v>
      </c>
      <c r="C18" s="9">
        <v>760.26</v>
      </c>
      <c r="D18" s="9">
        <v>799.5</v>
      </c>
      <c r="E18" s="9">
        <v>854.35</v>
      </c>
      <c r="F18" s="9">
        <v>913.75</v>
      </c>
      <c r="G18" s="9">
        <v>962.35</v>
      </c>
      <c r="H18" s="9">
        <v>940.97</v>
      </c>
      <c r="I18" s="9">
        <v>932.41</v>
      </c>
      <c r="J18" s="9">
        <v>919.34</v>
      </c>
      <c r="K18" s="9">
        <v>958.83</v>
      </c>
      <c r="L18" s="9">
        <v>1045.152</v>
      </c>
      <c r="M18" s="9">
        <v>1100.597</v>
      </c>
    </row>
    <row r="19" spans="1:13" x14ac:dyDescent="0.3">
      <c r="A19" s="12" t="s">
        <v>43</v>
      </c>
      <c r="B19" s="13" t="s">
        <v>44</v>
      </c>
      <c r="C19" s="6">
        <v>1619.23</v>
      </c>
      <c r="D19" s="6">
        <v>1835.06</v>
      </c>
      <c r="E19" s="6">
        <v>2172.06</v>
      </c>
      <c r="F19" s="6">
        <v>2579.7199999999998</v>
      </c>
      <c r="G19" s="6">
        <v>2986.53</v>
      </c>
      <c r="H19" s="6">
        <v>3182.13</v>
      </c>
      <c r="I19" s="6">
        <v>3374.44</v>
      </c>
      <c r="J19" s="6">
        <v>3638.16</v>
      </c>
      <c r="K19" s="6">
        <v>3924.13</v>
      </c>
      <c r="L19" s="6">
        <v>4127.2520000000004</v>
      </c>
      <c r="M19" s="6">
        <v>4455.1409999999996</v>
      </c>
    </row>
    <row r="20" spans="1:13" x14ac:dyDescent="0.3">
      <c r="A20" s="14" t="s">
        <v>45</v>
      </c>
      <c r="B20" s="15" t="s">
        <v>46</v>
      </c>
      <c r="C20" s="9">
        <v>252.87</v>
      </c>
      <c r="D20" s="9">
        <v>287.54000000000002</v>
      </c>
      <c r="E20" s="9">
        <v>324.72000000000003</v>
      </c>
      <c r="F20" s="9">
        <v>359.68</v>
      </c>
      <c r="G20" s="9">
        <v>404.72</v>
      </c>
      <c r="H20" s="9">
        <v>401.02</v>
      </c>
      <c r="I20" s="9">
        <v>440.21</v>
      </c>
      <c r="J20" s="9">
        <v>473.3</v>
      </c>
      <c r="K20" s="9">
        <v>514.21</v>
      </c>
      <c r="L20" s="9">
        <v>521.22799999999995</v>
      </c>
      <c r="M20" s="9">
        <v>558.20399999999995</v>
      </c>
    </row>
    <row r="21" spans="1:13" x14ac:dyDescent="0.3">
      <c r="A21" s="12" t="s">
        <v>47</v>
      </c>
      <c r="B21" s="13" t="s">
        <v>48</v>
      </c>
      <c r="C21" s="6">
        <v>496.12</v>
      </c>
      <c r="D21" s="6">
        <v>561.65</v>
      </c>
      <c r="E21" s="6">
        <v>645.71</v>
      </c>
      <c r="F21" s="6">
        <v>735.13</v>
      </c>
      <c r="G21" s="6">
        <v>823.84</v>
      </c>
      <c r="H21" s="6">
        <v>842</v>
      </c>
      <c r="I21" s="6">
        <v>847.6</v>
      </c>
      <c r="J21" s="6">
        <v>980.84</v>
      </c>
      <c r="K21" s="6">
        <v>1101.8599999999999</v>
      </c>
      <c r="L21" s="6">
        <v>1223.0029999999999</v>
      </c>
      <c r="M21" s="6">
        <v>1552.48</v>
      </c>
    </row>
    <row r="22" spans="1:13" x14ac:dyDescent="0.3">
      <c r="A22" s="16"/>
      <c r="B22" s="17" t="s">
        <v>49</v>
      </c>
      <c r="C22" s="18">
        <f t="shared" ref="C22:M22" si="0">SUM(C5:C21)</f>
        <v>16986.679999999997</v>
      </c>
      <c r="D22" s="18">
        <f t="shared" si="0"/>
        <v>18563.29</v>
      </c>
      <c r="E22" s="18">
        <f t="shared" si="0"/>
        <v>20463.97</v>
      </c>
      <c r="F22" s="18">
        <f t="shared" si="0"/>
        <v>22764.22</v>
      </c>
      <c r="G22" s="18">
        <f t="shared" si="0"/>
        <v>25093.14</v>
      </c>
      <c r="H22" s="18">
        <f t="shared" si="0"/>
        <v>25618.870000000003</v>
      </c>
      <c r="I22" s="18">
        <f t="shared" si="0"/>
        <v>26919.11</v>
      </c>
      <c r="J22" s="18">
        <f t="shared" si="0"/>
        <v>29519.830000000005</v>
      </c>
      <c r="K22" s="18">
        <f t="shared" si="0"/>
        <v>32544.900000000005</v>
      </c>
      <c r="L22" s="18">
        <f t="shared" si="0"/>
        <v>35535.758000000009</v>
      </c>
      <c r="M22" s="18">
        <f t="shared" si="0"/>
        <v>41955.254999999997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8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88" customWidth="1"/>
    <col min="2" max="2" width="12" customWidth="1"/>
    <col min="3" max="13" width="11" customWidth="1"/>
  </cols>
  <sheetData>
    <row r="1" spans="1:13" ht="17.399999999999999" customHeight="1" x14ac:dyDescent="0.35">
      <c r="A1" s="1" t="s">
        <v>105</v>
      </c>
    </row>
    <row r="2" spans="1:13" x14ac:dyDescent="0.3">
      <c r="A2" s="2" t="s">
        <v>106</v>
      </c>
    </row>
    <row r="4" spans="1:13" x14ac:dyDescent="0.3">
      <c r="A4" s="3" t="s">
        <v>107</v>
      </c>
      <c r="B4" s="3" t="s">
        <v>53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</row>
    <row r="5" spans="1:13" x14ac:dyDescent="0.3">
      <c r="A5" s="4" t="s">
        <v>108</v>
      </c>
      <c r="B5" s="5" t="s">
        <v>55</v>
      </c>
      <c r="C5" s="6">
        <v>13175.67</v>
      </c>
      <c r="D5" s="6">
        <v>13977.77</v>
      </c>
      <c r="E5" s="6">
        <v>14866.62</v>
      </c>
      <c r="F5" s="6">
        <v>15821.96</v>
      </c>
      <c r="G5" s="6">
        <v>16864.150000000001</v>
      </c>
      <c r="H5" s="6">
        <v>16882.759999999998</v>
      </c>
      <c r="I5" s="6">
        <v>17483.560000000001</v>
      </c>
      <c r="J5" s="6">
        <v>18450.34</v>
      </c>
      <c r="K5" s="6">
        <v>19418.73</v>
      </c>
      <c r="L5" s="6">
        <v>20507.27</v>
      </c>
      <c r="M5" s="6">
        <v>21937.73</v>
      </c>
    </row>
    <row r="6" spans="1:13" x14ac:dyDescent="0.3">
      <c r="A6" s="7" t="s">
        <v>109</v>
      </c>
      <c r="B6" s="8" t="s">
        <v>55</v>
      </c>
      <c r="C6" s="9">
        <v>790.29</v>
      </c>
      <c r="D6" s="9">
        <v>802.1</v>
      </c>
      <c r="E6" s="9">
        <v>888.85</v>
      </c>
      <c r="F6" s="9">
        <v>955.34</v>
      </c>
      <c r="G6" s="9">
        <v>1042.19</v>
      </c>
      <c r="H6" s="9">
        <v>18.61</v>
      </c>
      <c r="I6" s="9">
        <v>600.79999999999995</v>
      </c>
      <c r="J6" s="9">
        <v>966.78</v>
      </c>
      <c r="K6" s="9">
        <v>968.39</v>
      </c>
      <c r="L6" s="9">
        <v>1009.54</v>
      </c>
      <c r="M6" s="9">
        <v>1430.46</v>
      </c>
    </row>
    <row r="7" spans="1:13" x14ac:dyDescent="0.3">
      <c r="A7" s="4" t="s">
        <v>110</v>
      </c>
      <c r="B7" s="5" t="s">
        <v>55</v>
      </c>
      <c r="C7" s="6">
        <v>3470.44</v>
      </c>
      <c r="D7" s="6">
        <v>3583.79</v>
      </c>
      <c r="E7" s="6">
        <v>3822.81</v>
      </c>
      <c r="F7" s="6">
        <v>4127.51</v>
      </c>
      <c r="G7" s="6">
        <v>4326.8999999999996</v>
      </c>
      <c r="H7" s="6">
        <v>4026.59</v>
      </c>
      <c r="I7" s="6">
        <v>4299.5600000000004</v>
      </c>
      <c r="J7" s="6">
        <v>4422.26</v>
      </c>
      <c r="K7" s="6">
        <v>4569.5</v>
      </c>
      <c r="L7" s="6">
        <v>4769.8500000000004</v>
      </c>
      <c r="M7" s="6">
        <v>5160.28</v>
      </c>
    </row>
    <row r="8" spans="1:13" x14ac:dyDescent="0.3">
      <c r="A8" s="7" t="s">
        <v>111</v>
      </c>
      <c r="B8" s="8" t="s">
        <v>112</v>
      </c>
      <c r="C8" s="9">
        <v>4.3899999999999997</v>
      </c>
      <c r="D8" s="9">
        <v>4.47</v>
      </c>
      <c r="E8" s="9">
        <v>4.3</v>
      </c>
      <c r="F8" s="9">
        <v>4.32</v>
      </c>
      <c r="G8" s="9">
        <v>4.1500000000000004</v>
      </c>
      <c r="H8" s="9">
        <v>216.35</v>
      </c>
      <c r="I8" s="9">
        <v>7.16</v>
      </c>
      <c r="J8" s="9">
        <v>4.57</v>
      </c>
      <c r="K8" s="9">
        <v>4.72</v>
      </c>
      <c r="L8" s="9">
        <v>4.38</v>
      </c>
      <c r="M8" s="9">
        <v>3.61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28"/>
  <sheetViews>
    <sheetView tabSelected="1" zoomScale="83" workbookViewId="0">
      <selection activeCell="A5" sqref="A5:A16"/>
    </sheetView>
  </sheetViews>
  <sheetFormatPr defaultRowHeight="14.4" x14ac:dyDescent="0.3"/>
  <cols>
    <col min="1" max="1" width="6" customWidth="1"/>
    <col min="2" max="2" width="58" customWidth="1"/>
    <col min="3" max="3" width="16" customWidth="1"/>
    <col min="4" max="14" width="13.44140625" customWidth="1"/>
  </cols>
  <sheetData>
    <row r="1" spans="1:14" ht="22.05" customHeight="1" x14ac:dyDescent="0.35">
      <c r="A1" s="1" t="s">
        <v>113</v>
      </c>
    </row>
    <row r="2" spans="1:14" ht="15" customHeight="1" x14ac:dyDescent="0.3">
      <c r="A2" s="20" t="s">
        <v>114</v>
      </c>
    </row>
    <row r="4" spans="1:14" ht="24" customHeight="1" x14ac:dyDescent="0.3">
      <c r="A4" s="21" t="s">
        <v>68</v>
      </c>
      <c r="B4" s="21" t="s">
        <v>115</v>
      </c>
      <c r="C4" s="21" t="s">
        <v>53</v>
      </c>
      <c r="D4" s="21" t="s">
        <v>4</v>
      </c>
      <c r="E4" s="21" t="s">
        <v>5</v>
      </c>
      <c r="F4" s="21" t="s">
        <v>6</v>
      </c>
      <c r="G4" s="21" t="s">
        <v>7</v>
      </c>
      <c r="H4" s="21" t="s">
        <v>8</v>
      </c>
      <c r="I4" s="21" t="s">
        <v>9</v>
      </c>
      <c r="J4" s="21" t="s">
        <v>10</v>
      </c>
      <c r="K4" s="21" t="s">
        <v>11</v>
      </c>
      <c r="L4" s="21" t="s">
        <v>12</v>
      </c>
      <c r="M4" s="21" t="s">
        <v>13</v>
      </c>
      <c r="N4" s="21" t="s">
        <v>14</v>
      </c>
    </row>
    <row r="5" spans="1:14" ht="19.95" customHeight="1" x14ac:dyDescent="0.3">
      <c r="A5" s="22">
        <v>1</v>
      </c>
      <c r="B5" s="23" t="s">
        <v>116</v>
      </c>
      <c r="C5" s="24" t="s">
        <v>58</v>
      </c>
      <c r="D5" s="25">
        <v>13.97</v>
      </c>
      <c r="E5" s="25">
        <v>13.59</v>
      </c>
      <c r="F5" s="25">
        <v>13.27</v>
      </c>
      <c r="G5" s="25">
        <v>12.22</v>
      </c>
      <c r="H5" s="25">
        <v>11.41</v>
      </c>
      <c r="I5" s="25">
        <v>12.82</v>
      </c>
      <c r="J5" s="25">
        <v>13.1</v>
      </c>
      <c r="K5" s="25">
        <v>12.76</v>
      </c>
      <c r="L5" s="25">
        <v>12.12</v>
      </c>
      <c r="M5" s="25">
        <v>11.88</v>
      </c>
      <c r="N5" s="25">
        <v>10.74</v>
      </c>
    </row>
    <row r="6" spans="1:14" ht="19.95" customHeight="1" x14ac:dyDescent="0.3">
      <c r="A6" s="26">
        <v>2</v>
      </c>
      <c r="B6" s="27" t="s">
        <v>117</v>
      </c>
      <c r="C6" s="28" t="s">
        <v>118</v>
      </c>
      <c r="D6" s="29">
        <v>2.3199999999999998</v>
      </c>
      <c r="E6" s="29">
        <v>2.2000000000000002</v>
      </c>
      <c r="F6" s="29">
        <v>2</v>
      </c>
      <c r="G6" s="29">
        <v>1.73</v>
      </c>
      <c r="H6" s="29">
        <v>1.24</v>
      </c>
      <c r="I6" s="29">
        <v>2.41</v>
      </c>
      <c r="J6" s="29">
        <v>2.02</v>
      </c>
      <c r="K6" s="29">
        <v>2.14</v>
      </c>
      <c r="L6" s="29">
        <v>1.87</v>
      </c>
      <c r="M6" s="29">
        <v>2.02</v>
      </c>
      <c r="N6" s="29">
        <v>1.38</v>
      </c>
    </row>
    <row r="7" spans="1:14" ht="19.95" customHeight="1" x14ac:dyDescent="0.3">
      <c r="A7" s="22">
        <v>3</v>
      </c>
      <c r="B7" s="23" t="s">
        <v>119</v>
      </c>
      <c r="C7" s="24" t="s">
        <v>118</v>
      </c>
      <c r="D7" s="25">
        <v>0.62</v>
      </c>
      <c r="E7" s="25">
        <v>0.59</v>
      </c>
      <c r="F7" s="25">
        <v>0.44</v>
      </c>
      <c r="G7" s="25">
        <v>0.4</v>
      </c>
      <c r="H7" s="25">
        <v>0.18</v>
      </c>
      <c r="I7" s="25">
        <v>0.62</v>
      </c>
      <c r="J7" s="25">
        <v>0.46</v>
      </c>
      <c r="K7" s="25">
        <v>0.53</v>
      </c>
      <c r="L7" s="25">
        <v>0.42</v>
      </c>
      <c r="M7" s="25">
        <v>0.23</v>
      </c>
      <c r="N7" s="25">
        <v>0.26</v>
      </c>
    </row>
    <row r="8" spans="1:14" ht="19.95" customHeight="1" x14ac:dyDescent="0.3">
      <c r="A8" s="22">
        <v>4</v>
      </c>
      <c r="B8" s="27" t="s">
        <v>120</v>
      </c>
      <c r="C8" s="28" t="s">
        <v>121</v>
      </c>
      <c r="D8" s="30">
        <v>276154</v>
      </c>
      <c r="E8" s="30">
        <v>289901</v>
      </c>
      <c r="F8" s="30">
        <v>302061</v>
      </c>
      <c r="G8" s="30">
        <v>332483</v>
      </c>
      <c r="H8" s="30">
        <v>340775</v>
      </c>
      <c r="I8" s="30">
        <v>352358</v>
      </c>
      <c r="J8" s="30">
        <v>358069</v>
      </c>
      <c r="K8" s="30">
        <v>371665</v>
      </c>
      <c r="L8" s="30">
        <v>402767</v>
      </c>
      <c r="M8" s="30">
        <v>420867</v>
      </c>
      <c r="N8" s="30">
        <v>435184</v>
      </c>
    </row>
    <row r="9" spans="1:14" ht="19.95" customHeight="1" x14ac:dyDescent="0.3">
      <c r="A9" s="26">
        <v>5</v>
      </c>
      <c r="B9" s="23" t="s">
        <v>122</v>
      </c>
      <c r="C9" s="24" t="s">
        <v>58</v>
      </c>
      <c r="D9" s="25">
        <v>7.49</v>
      </c>
      <c r="E9" s="25">
        <v>7.49</v>
      </c>
      <c r="F9" s="25">
        <v>7.94</v>
      </c>
      <c r="G9" s="25">
        <v>8.99</v>
      </c>
      <c r="H9" s="25">
        <v>9.61</v>
      </c>
      <c r="I9" s="25">
        <v>11.22</v>
      </c>
      <c r="J9" s="25">
        <v>11.68</v>
      </c>
      <c r="K9" s="25">
        <v>9.81</v>
      </c>
      <c r="L9" s="25">
        <v>9.49</v>
      </c>
      <c r="M9" s="25">
        <v>7.78</v>
      </c>
      <c r="N9" s="25">
        <v>7.59</v>
      </c>
    </row>
    <row r="10" spans="1:14" ht="19.95" customHeight="1" x14ac:dyDescent="0.3">
      <c r="A10" s="22">
        <v>6</v>
      </c>
      <c r="B10" s="27" t="s">
        <v>123</v>
      </c>
      <c r="C10" s="28" t="s">
        <v>58</v>
      </c>
      <c r="D10" s="29">
        <v>64.319999999999993</v>
      </c>
      <c r="E10" s="29">
        <f>(E21/E22)*100</f>
        <v>64.321386603995307</v>
      </c>
      <c r="F10" s="29">
        <f t="shared" ref="F10:N10" si="0">(F21/F22)*100</f>
        <v>65.048860700023496</v>
      </c>
      <c r="G10" s="29">
        <f t="shared" si="0"/>
        <v>57.228429611442863</v>
      </c>
      <c r="H10" s="29">
        <f t="shared" si="0"/>
        <v>62.162805406132037</v>
      </c>
      <c r="I10" s="29">
        <f t="shared" si="0"/>
        <v>66.686098228705177</v>
      </c>
      <c r="J10" s="29">
        <f t="shared" si="0"/>
        <v>66.676609547251275</v>
      </c>
      <c r="K10" s="29">
        <f t="shared" si="0"/>
        <v>66.567728459530031</v>
      </c>
      <c r="L10" s="29">
        <f t="shared" si="0"/>
        <v>66.568356939504014</v>
      </c>
      <c r="M10" s="29">
        <f t="shared" si="0"/>
        <v>62.25941760244762</v>
      </c>
      <c r="N10" s="29">
        <f t="shared" si="0"/>
        <v>66.460297644469264</v>
      </c>
    </row>
    <row r="11" spans="1:14" ht="19.95" customHeight="1" x14ac:dyDescent="0.3">
      <c r="A11" s="22">
        <v>7</v>
      </c>
      <c r="B11" s="23" t="s">
        <v>124</v>
      </c>
      <c r="C11" s="24" t="s">
        <v>58</v>
      </c>
      <c r="D11" s="25">
        <v>35.68</v>
      </c>
      <c r="E11" s="25">
        <f>(E20/E22)*100</f>
        <v>35.6786133960047</v>
      </c>
      <c r="F11" s="25">
        <f>(F20/F22)*100</f>
        <v>34.951139299976511</v>
      </c>
      <c r="G11" s="25">
        <f t="shared" ref="G11:N11" si="1">(G20/G22)*100</f>
        <v>42.771570388557137</v>
      </c>
      <c r="H11" s="25">
        <f t="shared" si="1"/>
        <v>37.83719459386797</v>
      </c>
      <c r="I11" s="25">
        <f t="shared" si="1"/>
        <v>33.313901771294837</v>
      </c>
      <c r="J11" s="25">
        <f t="shared" si="1"/>
        <v>33.323390452748718</v>
      </c>
      <c r="K11" s="25">
        <f t="shared" si="1"/>
        <v>33.432271540469976</v>
      </c>
      <c r="L11" s="25">
        <f t="shared" si="1"/>
        <v>33.431643060495993</v>
      </c>
      <c r="M11" s="25">
        <f t="shared" si="1"/>
        <v>37.74058239755238</v>
      </c>
      <c r="N11" s="25">
        <f t="shared" si="1"/>
        <v>33.539702355530729</v>
      </c>
    </row>
    <row r="12" spans="1:14" ht="19.95" customHeight="1" x14ac:dyDescent="0.3">
      <c r="A12" s="26">
        <v>8</v>
      </c>
      <c r="B12" s="23" t="s">
        <v>125</v>
      </c>
      <c r="C12" s="24" t="s">
        <v>58</v>
      </c>
      <c r="D12" s="25">
        <v>60.01</v>
      </c>
      <c r="E12" s="25">
        <v>60.01</v>
      </c>
      <c r="F12" s="25">
        <v>57.69</v>
      </c>
      <c r="G12" s="25">
        <v>58.65</v>
      </c>
      <c r="H12" s="25">
        <v>61.31</v>
      </c>
      <c r="I12" s="25">
        <v>61.98</v>
      </c>
      <c r="J12" s="25">
        <v>63.82</v>
      </c>
      <c r="K12" s="25">
        <v>61.8</v>
      </c>
      <c r="L12" s="25">
        <v>61.95</v>
      </c>
      <c r="M12" s="25">
        <v>65.84</v>
      </c>
      <c r="N12" s="25">
        <v>69.34</v>
      </c>
    </row>
    <row r="13" spans="1:14" ht="19.95" customHeight="1" x14ac:dyDescent="0.3">
      <c r="A13" s="22">
        <v>9</v>
      </c>
      <c r="B13" s="27" t="s">
        <v>126</v>
      </c>
      <c r="C13" s="28" t="s">
        <v>127</v>
      </c>
      <c r="D13" s="29">
        <v>7.2</v>
      </c>
      <c r="E13" s="29">
        <v>7.34</v>
      </c>
      <c r="F13" s="29">
        <v>7.35</v>
      </c>
      <c r="G13" s="29">
        <v>7.36</v>
      </c>
      <c r="H13" s="29">
        <v>7.38</v>
      </c>
      <c r="I13" s="29">
        <v>7.57</v>
      </c>
      <c r="J13" s="29">
        <v>7.8</v>
      </c>
      <c r="K13" s="29">
        <v>7.88</v>
      </c>
      <c r="L13" s="29">
        <v>7.89</v>
      </c>
      <c r="M13" s="29">
        <v>7.9</v>
      </c>
      <c r="N13" s="29">
        <v>7.91</v>
      </c>
    </row>
    <row r="14" spans="1:14" ht="19.95" customHeight="1" x14ac:dyDescent="0.3">
      <c r="A14" s="22">
        <v>10</v>
      </c>
      <c r="B14" s="23" t="s">
        <v>128</v>
      </c>
      <c r="C14" s="24" t="s">
        <v>127</v>
      </c>
      <c r="D14" s="25">
        <v>12.03</v>
      </c>
      <c r="E14" s="25">
        <v>12.04</v>
      </c>
      <c r="F14" s="25">
        <v>12.05</v>
      </c>
      <c r="G14" s="25">
        <v>12.07</v>
      </c>
      <c r="H14" s="25">
        <v>12.01</v>
      </c>
      <c r="I14" s="25">
        <v>12.22</v>
      </c>
      <c r="J14" s="25">
        <v>12.23</v>
      </c>
      <c r="K14" s="25">
        <v>12.24</v>
      </c>
      <c r="L14" s="25">
        <v>12.26</v>
      </c>
      <c r="M14" s="25">
        <v>12.27</v>
      </c>
      <c r="N14" s="25">
        <v>12.52</v>
      </c>
    </row>
    <row r="15" spans="1:14" ht="19.95" customHeight="1" x14ac:dyDescent="0.3">
      <c r="A15" s="26">
        <v>11</v>
      </c>
      <c r="B15" s="27" t="s">
        <v>129</v>
      </c>
      <c r="C15" s="28" t="s">
        <v>127</v>
      </c>
      <c r="D15" s="29">
        <v>72.64</v>
      </c>
      <c r="E15" s="29">
        <v>72.760000000000005</v>
      </c>
      <c r="F15" s="29">
        <v>72.88</v>
      </c>
      <c r="G15" s="29">
        <v>73.11</v>
      </c>
      <c r="H15" s="29">
        <v>73.349999999999994</v>
      </c>
      <c r="I15" s="29">
        <v>74.25</v>
      </c>
      <c r="J15" s="29">
        <v>74.430000000000007</v>
      </c>
      <c r="K15" s="29">
        <v>74.67</v>
      </c>
      <c r="L15" s="29">
        <v>74.91</v>
      </c>
      <c r="M15" s="29">
        <v>75.22</v>
      </c>
      <c r="N15" s="29">
        <v>75.64</v>
      </c>
    </row>
    <row r="16" spans="1:14" ht="19.95" customHeight="1" x14ac:dyDescent="0.3">
      <c r="A16" s="22">
        <v>12</v>
      </c>
      <c r="B16" s="23" t="s">
        <v>130</v>
      </c>
      <c r="C16" s="24" t="s">
        <v>131</v>
      </c>
      <c r="D16" s="31">
        <v>8516</v>
      </c>
      <c r="E16" s="31">
        <v>8580</v>
      </c>
      <c r="F16" s="31">
        <v>8736</v>
      </c>
      <c r="G16" s="31">
        <v>9297</v>
      </c>
      <c r="H16" s="31">
        <v>9673</v>
      </c>
      <c r="I16" s="31">
        <v>9459</v>
      </c>
      <c r="J16" s="31">
        <v>9409</v>
      </c>
      <c r="K16" s="31">
        <v>9620</v>
      </c>
      <c r="L16" s="31">
        <v>10011</v>
      </c>
      <c r="M16" s="31">
        <v>10418</v>
      </c>
      <c r="N16" s="31">
        <v>10707</v>
      </c>
    </row>
    <row r="17" spans="1:14" ht="19.95" customHeight="1" x14ac:dyDescent="0.3"/>
    <row r="18" spans="1:14" x14ac:dyDescent="0.3">
      <c r="A18" s="32" t="s">
        <v>132</v>
      </c>
    </row>
    <row r="19" spans="1:14" x14ac:dyDescent="0.3">
      <c r="A19" s="21" t="s">
        <v>68</v>
      </c>
      <c r="B19" s="21" t="s">
        <v>133</v>
      </c>
      <c r="C19" s="21" t="s">
        <v>53</v>
      </c>
      <c r="D19" s="21" t="s">
        <v>4</v>
      </c>
      <c r="E19" s="21" t="s">
        <v>5</v>
      </c>
      <c r="F19" s="21" t="s">
        <v>6</v>
      </c>
      <c r="G19" s="21" t="s">
        <v>7</v>
      </c>
      <c r="H19" s="21" t="s">
        <v>8</v>
      </c>
      <c r="I19" s="21" t="s">
        <v>9</v>
      </c>
      <c r="J19" s="21" t="s">
        <v>10</v>
      </c>
      <c r="K19" s="21" t="s">
        <v>11</v>
      </c>
      <c r="L19" s="21" t="s">
        <v>12</v>
      </c>
      <c r="M19" s="21" t="s">
        <v>13</v>
      </c>
      <c r="N19" s="21" t="s">
        <v>14</v>
      </c>
    </row>
    <row r="20" spans="1:14" ht="24" customHeight="1" x14ac:dyDescent="0.3">
      <c r="A20" s="22">
        <v>1</v>
      </c>
      <c r="B20" s="33" t="s">
        <v>134</v>
      </c>
      <c r="C20" s="24" t="s">
        <v>135</v>
      </c>
      <c r="D20" s="31">
        <v>155456</v>
      </c>
      <c r="E20" s="31">
        <v>155456</v>
      </c>
      <c r="F20" s="31">
        <v>148787</v>
      </c>
      <c r="G20" s="31">
        <v>185008</v>
      </c>
      <c r="H20" s="31">
        <v>171698</v>
      </c>
      <c r="I20" s="31">
        <v>154298</v>
      </c>
      <c r="J20" s="31">
        <v>159754</v>
      </c>
      <c r="K20" s="31">
        <v>160057</v>
      </c>
      <c r="L20" s="31">
        <v>160057</v>
      </c>
      <c r="M20" s="31">
        <v>215130</v>
      </c>
      <c r="N20" s="31">
        <v>204183</v>
      </c>
    </row>
    <row r="21" spans="1:14" ht="19.95" customHeight="1" thickBot="1" x14ac:dyDescent="0.35">
      <c r="A21" s="26">
        <v>2</v>
      </c>
      <c r="B21" s="34" t="s">
        <v>136</v>
      </c>
      <c r="C21" s="28" t="s">
        <v>135</v>
      </c>
      <c r="D21" s="30">
        <v>280256</v>
      </c>
      <c r="E21" s="30">
        <v>280256</v>
      </c>
      <c r="F21" s="30">
        <v>276913</v>
      </c>
      <c r="G21" s="30">
        <v>247541</v>
      </c>
      <c r="H21" s="30">
        <v>282083</v>
      </c>
      <c r="I21" s="30">
        <v>308866</v>
      </c>
      <c r="J21" s="30">
        <v>319651</v>
      </c>
      <c r="K21" s="30">
        <v>318693</v>
      </c>
      <c r="L21" s="30">
        <v>318702</v>
      </c>
      <c r="M21" s="30">
        <v>354893</v>
      </c>
      <c r="N21" s="30">
        <v>404597</v>
      </c>
    </row>
    <row r="22" spans="1:14" ht="19.95" customHeight="1" thickBot="1" x14ac:dyDescent="0.35">
      <c r="A22" s="35"/>
      <c r="B22" s="36" t="s">
        <v>137</v>
      </c>
      <c r="C22" s="37" t="s">
        <v>135</v>
      </c>
      <c r="D22" s="39">
        <v>435712</v>
      </c>
      <c r="E22" s="39">
        <v>435712</v>
      </c>
      <c r="F22" s="39">
        <v>425700</v>
      </c>
      <c r="G22" s="39">
        <v>432549</v>
      </c>
      <c r="H22" s="39">
        <v>453781</v>
      </c>
      <c r="I22" s="39">
        <v>463164</v>
      </c>
      <c r="J22" s="39">
        <v>479405</v>
      </c>
      <c r="K22" s="39">
        <v>478750</v>
      </c>
      <c r="L22" s="39">
        <v>478759</v>
      </c>
      <c r="M22" s="39">
        <v>570023</v>
      </c>
      <c r="N22" s="39">
        <v>608780</v>
      </c>
    </row>
    <row r="23" spans="1:14" ht="21" customHeight="1" thickTop="1" x14ac:dyDescent="0.3"/>
    <row r="24" spans="1:14" x14ac:dyDescent="0.3">
      <c r="A24" s="32" t="s">
        <v>138</v>
      </c>
    </row>
    <row r="25" spans="1:14" x14ac:dyDescent="0.3">
      <c r="A25" s="21" t="s">
        <v>68</v>
      </c>
      <c r="B25" s="21" t="s">
        <v>139</v>
      </c>
      <c r="C25" s="21" t="s">
        <v>53</v>
      </c>
      <c r="D25" s="21" t="s">
        <v>4</v>
      </c>
      <c r="E25" s="21" t="s">
        <v>5</v>
      </c>
      <c r="F25" s="21" t="s">
        <v>6</v>
      </c>
      <c r="G25" s="21" t="s">
        <v>7</v>
      </c>
      <c r="H25" s="21" t="s">
        <v>8</v>
      </c>
      <c r="I25" s="21" t="s">
        <v>9</v>
      </c>
      <c r="J25" s="21" t="s">
        <v>10</v>
      </c>
      <c r="K25" s="21" t="s">
        <v>11</v>
      </c>
      <c r="L25" s="21" t="s">
        <v>12</v>
      </c>
      <c r="M25" s="21" t="s">
        <v>13</v>
      </c>
      <c r="N25" s="21" t="s">
        <v>14</v>
      </c>
    </row>
    <row r="26" spans="1:14" ht="24" customHeight="1" x14ac:dyDescent="0.3">
      <c r="A26" s="26">
        <v>1</v>
      </c>
      <c r="B26" s="27" t="s">
        <v>140</v>
      </c>
      <c r="C26" s="28" t="s">
        <v>141</v>
      </c>
      <c r="D26" s="30">
        <v>808518</v>
      </c>
      <c r="E26" s="30">
        <v>906062</v>
      </c>
      <c r="F26" s="30">
        <v>753008</v>
      </c>
      <c r="G26" s="30">
        <v>944051</v>
      </c>
      <c r="H26" s="30">
        <v>977930</v>
      </c>
      <c r="I26" s="30">
        <v>1157538</v>
      </c>
      <c r="J26" s="30">
        <v>1211684</v>
      </c>
      <c r="K26" s="30">
        <v>1100725</v>
      </c>
      <c r="L26" s="30">
        <v>1121601</v>
      </c>
      <c r="M26" s="30">
        <v>1161901</v>
      </c>
      <c r="N26" s="30">
        <v>1138841</v>
      </c>
    </row>
    <row r="27" spans="1:14" ht="19.95" customHeight="1" x14ac:dyDescent="0.3"/>
    <row r="28" spans="1:14" x14ac:dyDescent="0.3">
      <c r="A28" s="38" t="s">
        <v>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Ringkasan Makro</vt:lpstr>
      <vt:lpstr>Pengeluaran ADHB (Miliar)</vt:lpstr>
      <vt:lpstr>Pengeluaran ADHK (Miliar)</vt:lpstr>
      <vt:lpstr>Distribusi Pengeluaran (%)</vt:lpstr>
      <vt:lpstr>Pertumbuhan Pengeluaran (%)</vt:lpstr>
      <vt:lpstr>Indeks Implisit Pengeluaran</vt:lpstr>
      <vt:lpstr>Rincian PK-RT (7 COICOP)</vt:lpstr>
      <vt:lpstr>PDRB Lapangan Usaha (ADHB)</vt:lpstr>
      <vt:lpstr>Analisis ICVAR</vt:lpstr>
      <vt:lpstr>Indikator Sosial Ekonomi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Hanif Syahrul Ramadhan</cp:lastModifiedBy>
  <dcterms:created xsi:type="dcterms:W3CDTF">2026-08-30T19:46:43Z</dcterms:created>
  <dcterms:modified xsi:type="dcterms:W3CDTF">2026-09-05T09:49:00Z</dcterms:modified>
</cp:coreProperties>
</file>